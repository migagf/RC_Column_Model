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miguelgomez/Documents/GitHub/BART_r2d/opensees_model/"/>
    </mc:Choice>
  </mc:AlternateContent>
  <xr:revisionPtr revIDLastSave="0" documentId="13_ncr:1_{87EAD252-3C66-1D4F-A903-29C637E50742}" xr6:coauthVersionLast="47" xr6:coauthVersionMax="47" xr10:uidLastSave="{00000000-0000-0000-0000-000000000000}"/>
  <bookViews>
    <workbookView xWindow="3540" yWindow="860" windowWidth="30660" windowHeight="20220" activeTab="2" xr2:uid="{BF1D43A3-CD0A-4BDB-BB7F-2C5FE7E3DE72}"/>
  </bookViews>
  <sheets>
    <sheet name="modelInfo" sheetId="1" r:id="rId1"/>
    <sheet name="nodeInfo" sheetId="2" r:id="rId2"/>
    <sheet name="elements" sheetId="3" r:id="rId3"/>
  </sheets>
  <definedNames>
    <definedName name="_xlnm._FilterDatabase" localSheetId="0" hidden="1">modelInfo!$A$1:$H$1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2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C326" i="3"/>
  <c r="B326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263" i="3"/>
  <c r="C263" i="3"/>
  <c r="C262" i="3"/>
  <c r="B262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197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32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67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C2" i="3"/>
  <c r="B2" i="3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C262" i="2"/>
  <c r="B262" i="2"/>
  <c r="D197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32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C197" i="2"/>
  <c r="B197" i="2"/>
  <c r="P4" i="1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C132" i="2"/>
  <c r="B132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C67" i="2"/>
  <c r="B67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4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 l="1"/>
</calcChain>
</file>

<file path=xl/sharedStrings.xml><?xml version="1.0" encoding="utf-8"?>
<sst xmlns="http://schemas.openxmlformats.org/spreadsheetml/2006/main" count="1520" uniqueCount="686">
  <si>
    <t>pier</t>
  </si>
  <si>
    <t>z</t>
  </si>
  <si>
    <t>x</t>
  </si>
  <si>
    <t>y</t>
  </si>
  <si>
    <t>nodeID</t>
  </si>
  <si>
    <t>base</t>
  </si>
  <si>
    <t>angle</t>
  </si>
  <si>
    <t>0010</t>
  </si>
  <si>
    <t>0110</t>
  </si>
  <si>
    <t>0210</t>
  </si>
  <si>
    <t>0310</t>
  </si>
  <si>
    <t>0410</t>
  </si>
  <si>
    <t>0510</t>
  </si>
  <si>
    <t>0610</t>
  </si>
  <si>
    <t>0710</t>
  </si>
  <si>
    <t>0810</t>
  </si>
  <si>
    <t>0910</t>
  </si>
  <si>
    <t>1010</t>
  </si>
  <si>
    <t>1110</t>
  </si>
  <si>
    <t>1210</t>
  </si>
  <si>
    <t>1310</t>
  </si>
  <si>
    <t>1410</t>
  </si>
  <si>
    <t>1510</t>
  </si>
  <si>
    <t>1610</t>
  </si>
  <si>
    <t>1710</t>
  </si>
  <si>
    <t>1810</t>
  </si>
  <si>
    <t>1910</t>
  </si>
  <si>
    <t>2010</t>
  </si>
  <si>
    <t>2110</t>
  </si>
  <si>
    <t>2210</t>
  </si>
  <si>
    <t>2310</t>
  </si>
  <si>
    <t>2410</t>
  </si>
  <si>
    <t>2510</t>
  </si>
  <si>
    <t>2610</t>
  </si>
  <si>
    <t>2710</t>
  </si>
  <si>
    <t>2810</t>
  </si>
  <si>
    <t>2910</t>
  </si>
  <si>
    <t>3010</t>
  </si>
  <si>
    <t>3110</t>
  </si>
  <si>
    <t>3210</t>
  </si>
  <si>
    <t>3310</t>
  </si>
  <si>
    <t>3410</t>
  </si>
  <si>
    <t>3510</t>
  </si>
  <si>
    <t>3610</t>
  </si>
  <si>
    <t>3710</t>
  </si>
  <si>
    <t>3810</t>
  </si>
  <si>
    <t>3910</t>
  </si>
  <si>
    <t>4010</t>
  </si>
  <si>
    <t>4110</t>
  </si>
  <si>
    <t>4210</t>
  </si>
  <si>
    <t>4310</t>
  </si>
  <si>
    <t>4410</t>
  </si>
  <si>
    <t>4510</t>
  </si>
  <si>
    <t>4610</t>
  </si>
  <si>
    <t>4710</t>
  </si>
  <si>
    <t>4810</t>
  </si>
  <si>
    <t>4910</t>
  </si>
  <si>
    <t>5010</t>
  </si>
  <si>
    <t>5110</t>
  </si>
  <si>
    <t>5210</t>
  </si>
  <si>
    <t>5310</t>
  </si>
  <si>
    <t>5410</t>
  </si>
  <si>
    <t>5510</t>
  </si>
  <si>
    <t>5610</t>
  </si>
  <si>
    <t>5710</t>
  </si>
  <si>
    <t>5810</t>
  </si>
  <si>
    <t>5910</t>
  </si>
  <si>
    <t>6010</t>
  </si>
  <si>
    <t>6110</t>
  </si>
  <si>
    <t>6210</t>
  </si>
  <si>
    <t>6310</t>
  </si>
  <si>
    <t>6311</t>
  </si>
  <si>
    <t>6410</t>
  </si>
  <si>
    <t>X</t>
  </si>
  <si>
    <t>Y</t>
  </si>
  <si>
    <t>Z</t>
  </si>
  <si>
    <t>desc</t>
  </si>
  <si>
    <t>heigth</t>
  </si>
  <si>
    <t>height</t>
  </si>
  <si>
    <t>0011</t>
  </si>
  <si>
    <t>0111</t>
  </si>
  <si>
    <t>0211</t>
  </si>
  <si>
    <t>0311</t>
  </si>
  <si>
    <t>0411</t>
  </si>
  <si>
    <t>0511</t>
  </si>
  <si>
    <t>0611</t>
  </si>
  <si>
    <t>0711</t>
  </si>
  <si>
    <t>0811</t>
  </si>
  <si>
    <t>0911</t>
  </si>
  <si>
    <t>1011</t>
  </si>
  <si>
    <t>1111</t>
  </si>
  <si>
    <t>1211</t>
  </si>
  <si>
    <t>1311</t>
  </si>
  <si>
    <t>1411</t>
  </si>
  <si>
    <t>1511</t>
  </si>
  <si>
    <t>1611</t>
  </si>
  <si>
    <t>1711</t>
  </si>
  <si>
    <t>1811</t>
  </si>
  <si>
    <t>1911</t>
  </si>
  <si>
    <t>2011</t>
  </si>
  <si>
    <t>2111</t>
  </si>
  <si>
    <t>2211</t>
  </si>
  <si>
    <t>2311</t>
  </si>
  <si>
    <t>2411</t>
  </si>
  <si>
    <t>2511</t>
  </si>
  <si>
    <t>2611</t>
  </si>
  <si>
    <t>2711</t>
  </si>
  <si>
    <t>2811</t>
  </si>
  <si>
    <t>2911</t>
  </si>
  <si>
    <t>3011</t>
  </si>
  <si>
    <t>3111</t>
  </si>
  <si>
    <t>3211</t>
  </si>
  <si>
    <t>3311</t>
  </si>
  <si>
    <t>3411</t>
  </si>
  <si>
    <t>3511</t>
  </si>
  <si>
    <t>3611</t>
  </si>
  <si>
    <t>3711</t>
  </si>
  <si>
    <t>3811</t>
  </si>
  <si>
    <t>3911</t>
  </si>
  <si>
    <t>4011</t>
  </si>
  <si>
    <t>4111</t>
  </si>
  <si>
    <t>4211</t>
  </si>
  <si>
    <t>4311</t>
  </si>
  <si>
    <t>4411</t>
  </si>
  <si>
    <t>4511</t>
  </si>
  <si>
    <t>4611</t>
  </si>
  <si>
    <t>4711</t>
  </si>
  <si>
    <t>4811</t>
  </si>
  <si>
    <t>4911</t>
  </si>
  <si>
    <t>5011</t>
  </si>
  <si>
    <t>5111</t>
  </si>
  <si>
    <t>5211</t>
  </si>
  <si>
    <t>5311</t>
  </si>
  <si>
    <t>5411</t>
  </si>
  <si>
    <t>5511</t>
  </si>
  <si>
    <t>5611</t>
  </si>
  <si>
    <t>5711</t>
  </si>
  <si>
    <t>5811</t>
  </si>
  <si>
    <t>5911</t>
  </si>
  <si>
    <t>6011</t>
  </si>
  <si>
    <t>6111</t>
  </si>
  <si>
    <t>6211</t>
  </si>
  <si>
    <t>6411</t>
  </si>
  <si>
    <t>top of column</t>
  </si>
  <si>
    <t>0021</t>
  </si>
  <si>
    <t>0121</t>
  </si>
  <si>
    <t>0221</t>
  </si>
  <si>
    <t>0321</t>
  </si>
  <si>
    <t>0421</t>
  </si>
  <si>
    <t>0521</t>
  </si>
  <si>
    <t>0621</t>
  </si>
  <si>
    <t>0721</t>
  </si>
  <si>
    <t>0821</t>
  </si>
  <si>
    <t>0921</t>
  </si>
  <si>
    <t>1021</t>
  </si>
  <si>
    <t>1121</t>
  </si>
  <si>
    <t>1221</t>
  </si>
  <si>
    <t>1321</t>
  </si>
  <si>
    <t>1421</t>
  </si>
  <si>
    <t>1521</t>
  </si>
  <si>
    <t>1621</t>
  </si>
  <si>
    <t>1721</t>
  </si>
  <si>
    <t>1821</t>
  </si>
  <si>
    <t>1921</t>
  </si>
  <si>
    <t>2021</t>
  </si>
  <si>
    <t>2121</t>
  </si>
  <si>
    <t>2221</t>
  </si>
  <si>
    <t>2321</t>
  </si>
  <si>
    <t>2421</t>
  </si>
  <si>
    <t>2521</t>
  </si>
  <si>
    <t>2621</t>
  </si>
  <si>
    <t>2721</t>
  </si>
  <si>
    <t>2821</t>
  </si>
  <si>
    <t>2921</t>
  </si>
  <si>
    <t>3021</t>
  </si>
  <si>
    <t>3121</t>
  </si>
  <si>
    <t>3221</t>
  </si>
  <si>
    <t>3321</t>
  </si>
  <si>
    <t>3421</t>
  </si>
  <si>
    <t>3521</t>
  </si>
  <si>
    <t>3621</t>
  </si>
  <si>
    <t>3721</t>
  </si>
  <si>
    <t>3821</t>
  </si>
  <si>
    <t>3921</t>
  </si>
  <si>
    <t>4021</t>
  </si>
  <si>
    <t>4121</t>
  </si>
  <si>
    <t>4221</t>
  </si>
  <si>
    <t>4321</t>
  </si>
  <si>
    <t>4421</t>
  </si>
  <si>
    <t>4521</t>
  </si>
  <si>
    <t>4621</t>
  </si>
  <si>
    <t>4721</t>
  </si>
  <si>
    <t>4821</t>
  </si>
  <si>
    <t>4921</t>
  </si>
  <si>
    <t>5021</t>
  </si>
  <si>
    <t>5121</t>
  </si>
  <si>
    <t>5221</t>
  </si>
  <si>
    <t>5321</t>
  </si>
  <si>
    <t>5421</t>
  </si>
  <si>
    <t>5521</t>
  </si>
  <si>
    <t>5621</t>
  </si>
  <si>
    <t>5721</t>
  </si>
  <si>
    <t>5821</t>
  </si>
  <si>
    <t>5921</t>
  </si>
  <si>
    <t>6021</t>
  </si>
  <si>
    <t>6121</t>
  </si>
  <si>
    <t>6221</t>
  </si>
  <si>
    <t>6321</t>
  </si>
  <si>
    <t>6421</t>
  </si>
  <si>
    <t>top of beam</t>
  </si>
  <si>
    <t>hb</t>
  </si>
  <si>
    <t>in</t>
  </si>
  <si>
    <t>General Dimensions</t>
  </si>
  <si>
    <t>BA (ft)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</si>
  <si>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</si>
  <si>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</si>
  <si>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</si>
  <si>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</si>
  <si>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</si>
  <si>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</si>
  <si>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</si>
  <si>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</si>
  <si>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</si>
  <si>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</si>
  <si>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</si>
  <si>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</si>
  <si>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</si>
  <si>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</si>
  <si>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</si>
  <si>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</si>
  <si>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</si>
  <si>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</si>
  <si>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</si>
  <si>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</si>
  <si>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</si>
  <si>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</si>
  <si>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</si>
  <si>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</si>
  <si>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</si>
  <si>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</si>
  <si>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</si>
  <si>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</si>
  <si>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</si>
  <si>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</si>
  <si>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</si>
  <si>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</si>
  <si>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</si>
  <si>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</si>
  <si>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</si>
  <si>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</si>
  <si>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</si>
  <si>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</si>
  <si>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</si>
  <si>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</si>
  <si>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</si>
  <si>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</si>
  <si>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</si>
  <si>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</si>
  <si>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</si>
  <si>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</si>
  <si>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</si>
  <si>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</si>
  <si>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</si>
  <si>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</si>
  <si>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</si>
  <si>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</si>
  <si>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</si>
  <si>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</si>
  <si>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</si>
  <si>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</si>
  <si>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</si>
  <si>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</si>
  <si>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</si>
  <si>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</si>
  <si>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6002</t>
  </si>
  <si>
    <t>6102</t>
  </si>
  <si>
    <t>6202</t>
  </si>
  <si>
    <t>6302</t>
  </si>
  <si>
    <t>6402</t>
  </si>
  <si>
    <t>top west</t>
  </si>
  <si>
    <t>0022</t>
  </si>
  <si>
    <t>0122</t>
  </si>
  <si>
    <t>0222</t>
  </si>
  <si>
    <t>0322</t>
  </si>
  <si>
    <t>0422</t>
  </si>
  <si>
    <t>0522</t>
  </si>
  <si>
    <t>0622</t>
  </si>
  <si>
    <t>0722</t>
  </si>
  <si>
    <t>0822</t>
  </si>
  <si>
    <t>0922</t>
  </si>
  <si>
    <t>1022</t>
  </si>
  <si>
    <t>1122</t>
  </si>
  <si>
    <t>1222</t>
  </si>
  <si>
    <t>1322</t>
  </si>
  <si>
    <t>1422</t>
  </si>
  <si>
    <t>1522</t>
  </si>
  <si>
    <t>1622</t>
  </si>
  <si>
    <t>1722</t>
  </si>
  <si>
    <t>1822</t>
  </si>
  <si>
    <t>1922</t>
  </si>
  <si>
    <t>2022</t>
  </si>
  <si>
    <t>2122</t>
  </si>
  <si>
    <t>2222</t>
  </si>
  <si>
    <t>2322</t>
  </si>
  <si>
    <t>2422</t>
  </si>
  <si>
    <t>2522</t>
  </si>
  <si>
    <t>2622</t>
  </si>
  <si>
    <t>2722</t>
  </si>
  <si>
    <t>2822</t>
  </si>
  <si>
    <t>2922</t>
  </si>
  <si>
    <t>3022</t>
  </si>
  <si>
    <t>3122</t>
  </si>
  <si>
    <t>3222</t>
  </si>
  <si>
    <t>3322</t>
  </si>
  <si>
    <t>3422</t>
  </si>
  <si>
    <t>3522</t>
  </si>
  <si>
    <t>3622</t>
  </si>
  <si>
    <t>3722</t>
  </si>
  <si>
    <t>3822</t>
  </si>
  <si>
    <t>3922</t>
  </si>
  <si>
    <t>4022</t>
  </si>
  <si>
    <t>4122</t>
  </si>
  <si>
    <t>4222</t>
  </si>
  <si>
    <t>4322</t>
  </si>
  <si>
    <t>4422</t>
  </si>
  <si>
    <t>4522</t>
  </si>
  <si>
    <t>4622</t>
  </si>
  <si>
    <t>4722</t>
  </si>
  <si>
    <t>4822</t>
  </si>
  <si>
    <t>4922</t>
  </si>
  <si>
    <t>5022</t>
  </si>
  <si>
    <t>5122</t>
  </si>
  <si>
    <t>5222</t>
  </si>
  <si>
    <t>5322</t>
  </si>
  <si>
    <t>5422</t>
  </si>
  <si>
    <t>5522</t>
  </si>
  <si>
    <t>5622</t>
  </si>
  <si>
    <t>5722</t>
  </si>
  <si>
    <t>5822</t>
  </si>
  <si>
    <t>5922</t>
  </si>
  <si>
    <t>6022</t>
  </si>
  <si>
    <t>6122</t>
  </si>
  <si>
    <t>6222</t>
  </si>
  <si>
    <t>6322</t>
  </si>
  <si>
    <t>6422</t>
  </si>
  <si>
    <t>top east</t>
  </si>
  <si>
    <t>nodei</t>
  </si>
  <si>
    <t>nodej</t>
  </si>
  <si>
    <t>type</t>
  </si>
  <si>
    <t>eleTag</t>
  </si>
  <si>
    <t>pierCol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</si>
  <si>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</si>
  <si>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</si>
  <si>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</si>
  <si>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</si>
  <si>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</si>
  <si>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</si>
  <si>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</si>
  <si>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</si>
  <si>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</si>
  <si>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</si>
  <si>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</si>
  <si>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</si>
  <si>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</si>
  <si>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</si>
  <si>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</si>
  <si>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</si>
  <si>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</si>
  <si>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</si>
  <si>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</si>
  <si>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</si>
  <si>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</si>
  <si>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</si>
  <si>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</si>
  <si>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</si>
  <si>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</si>
  <si>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</si>
  <si>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</si>
  <si>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</si>
  <si>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</si>
  <si>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</si>
  <si>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</si>
  <si>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</si>
  <si>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</si>
  <si>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</si>
  <si>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</si>
  <si>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</si>
  <si>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</si>
  <si>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</si>
  <si>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</si>
  <si>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</si>
  <si>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</si>
  <si>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</si>
  <si>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</si>
  <si>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</si>
  <si>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</si>
  <si>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</si>
  <si>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</si>
  <si>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</si>
  <si>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</si>
  <si>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</si>
  <si>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</si>
  <si>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</si>
  <si>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</si>
  <si>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</si>
  <si>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</si>
  <si>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</si>
  <si>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</si>
  <si>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</si>
  <si>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</si>
  <si>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</si>
  <si>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6001</t>
  </si>
  <si>
    <t>6101</t>
  </si>
  <si>
    <t>6201</t>
  </si>
  <si>
    <t>6301</t>
  </si>
  <si>
    <t>6401</t>
  </si>
  <si>
    <t>pierRigid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</si>
  <si>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</si>
  <si>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</si>
  <si>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</si>
  <si>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</si>
  <si>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</si>
  <si>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</si>
  <si>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</si>
  <si>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</si>
  <si>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</si>
  <si>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</si>
  <si>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</si>
  <si>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</si>
  <si>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</si>
  <si>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</si>
  <si>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</si>
  <si>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</si>
  <si>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</si>
  <si>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</si>
  <si>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</si>
  <si>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</si>
  <si>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2003</t>
  </si>
  <si>
    <t>2103</t>
  </si>
  <si>
    <t>2203</t>
  </si>
  <si>
    <t>2303</t>
  </si>
  <si>
    <t>2403</t>
  </si>
  <si>
    <t>2503</t>
  </si>
  <si>
    <t>2603</t>
  </si>
  <si>
    <t>2703</t>
  </si>
  <si>
    <t>2803</t>
  </si>
  <si>
    <t>2903</t>
  </si>
  <si>
    <t>3003</t>
  </si>
  <si>
    <t>3103</t>
  </si>
  <si>
    <t>3203</t>
  </si>
  <si>
    <t>3303</t>
  </si>
  <si>
    <t>3403</t>
  </si>
  <si>
    <t>3503</t>
  </si>
  <si>
    <t>3603</t>
  </si>
  <si>
    <t>3703</t>
  </si>
  <si>
    <t>3803</t>
  </si>
  <si>
    <t>3903</t>
  </si>
  <si>
    <t>4003</t>
  </si>
  <si>
    <t>4103</t>
  </si>
  <si>
    <t>4203</t>
  </si>
  <si>
    <t>4303</t>
  </si>
  <si>
    <t>4403</t>
  </si>
  <si>
    <t>4503</t>
  </si>
  <si>
    <t>4603</t>
  </si>
  <si>
    <t>4703</t>
  </si>
  <si>
    <t>4803</t>
  </si>
  <si>
    <t>4903</t>
  </si>
  <si>
    <t>5003</t>
  </si>
  <si>
    <t>5103</t>
  </si>
  <si>
    <t>5203</t>
  </si>
  <si>
    <t>5303</t>
  </si>
  <si>
    <t>5403</t>
  </si>
  <si>
    <t>5503</t>
  </si>
  <si>
    <t>5603</t>
  </si>
  <si>
    <t>5703</t>
  </si>
  <si>
    <t>5803</t>
  </si>
  <si>
    <t>5903</t>
  </si>
  <si>
    <t>6003</t>
  </si>
  <si>
    <t>6103</t>
  </si>
  <si>
    <t>6203</t>
  </si>
  <si>
    <t>6303</t>
  </si>
  <si>
    <t>6403</t>
  </si>
  <si>
    <t>westRigid</t>
  </si>
  <si>
    <t>0004</t>
  </si>
  <si>
    <t>0005</t>
  </si>
  <si>
    <t>0105</t>
  </si>
  <si>
    <t>0205</t>
  </si>
  <si>
    <t>0104</t>
  </si>
  <si>
    <t>0204</t>
  </si>
  <si>
    <t>0304</t>
  </si>
  <si>
    <t>0404</t>
  </si>
  <si>
    <t>0504</t>
  </si>
  <si>
    <t>0604</t>
  </si>
  <si>
    <t>0704</t>
  </si>
  <si>
    <t>0804</t>
  </si>
  <si>
    <t>0904</t>
  </si>
  <si>
    <t>1004</t>
  </si>
  <si>
    <t>1104</t>
  </si>
  <si>
    <t>1204</t>
  </si>
  <si>
    <t>1304</t>
  </si>
  <si>
    <t>1404</t>
  </si>
  <si>
    <t>1504</t>
  </si>
  <si>
    <t>1604</t>
  </si>
  <si>
    <t>1704</t>
  </si>
  <si>
    <t>1804</t>
  </si>
  <si>
    <t>1904</t>
  </si>
  <si>
    <t>2004</t>
  </si>
  <si>
    <t>2104</t>
  </si>
  <si>
    <t>2204</t>
  </si>
  <si>
    <t>2304</t>
  </si>
  <si>
    <t>2404</t>
  </si>
  <si>
    <t>2504</t>
  </si>
  <si>
    <t>2604</t>
  </si>
  <si>
    <t>2704</t>
  </si>
  <si>
    <t>2804</t>
  </si>
  <si>
    <t>2904</t>
  </si>
  <si>
    <t>3004</t>
  </si>
  <si>
    <t>3104</t>
  </si>
  <si>
    <t>3204</t>
  </si>
  <si>
    <t>3304</t>
  </si>
  <si>
    <t>3404</t>
  </si>
  <si>
    <t>3504</t>
  </si>
  <si>
    <t>3604</t>
  </si>
  <si>
    <t>3704</t>
  </si>
  <si>
    <t>3804</t>
  </si>
  <si>
    <t>3904</t>
  </si>
  <si>
    <t>4004</t>
  </si>
  <si>
    <t>4104</t>
  </si>
  <si>
    <t>4204</t>
  </si>
  <si>
    <t>4304</t>
  </si>
  <si>
    <t>4404</t>
  </si>
  <si>
    <t>4504</t>
  </si>
  <si>
    <t>4604</t>
  </si>
  <si>
    <t>4704</t>
  </si>
  <si>
    <t>4804</t>
  </si>
  <si>
    <t>4904</t>
  </si>
  <si>
    <t>5004</t>
  </si>
  <si>
    <t>5104</t>
  </si>
  <si>
    <t>5204</t>
  </si>
  <si>
    <t>5304</t>
  </si>
  <si>
    <t>5404</t>
  </si>
  <si>
    <t>5504</t>
  </si>
  <si>
    <t>5604</t>
  </si>
  <si>
    <t>5704</t>
  </si>
  <si>
    <t>5804</t>
  </si>
  <si>
    <t>5904</t>
  </si>
  <si>
    <t>6004</t>
  </si>
  <si>
    <t>6104</t>
  </si>
  <si>
    <t>6204</t>
  </si>
  <si>
    <t>6304</t>
  </si>
  <si>
    <t>6404</t>
  </si>
  <si>
    <t>eastRigid</t>
  </si>
  <si>
    <t>0305</t>
  </si>
  <si>
    <t>0405</t>
  </si>
  <si>
    <t>0505</t>
  </si>
  <si>
    <t>0605</t>
  </si>
  <si>
    <t>0705</t>
  </si>
  <si>
    <t>0805</t>
  </si>
  <si>
    <t>0905</t>
  </si>
  <si>
    <t>1005</t>
  </si>
  <si>
    <t>1105</t>
  </si>
  <si>
    <t>1205</t>
  </si>
  <si>
    <t>1305</t>
  </si>
  <si>
    <t>1405</t>
  </si>
  <si>
    <t>1505</t>
  </si>
  <si>
    <t>1605</t>
  </si>
  <si>
    <t>1705</t>
  </si>
  <si>
    <t>1805</t>
  </si>
  <si>
    <t>1905</t>
  </si>
  <si>
    <t>2005</t>
  </si>
  <si>
    <t>2105</t>
  </si>
  <si>
    <t>2205</t>
  </si>
  <si>
    <t>2305</t>
  </si>
  <si>
    <t>2405</t>
  </si>
  <si>
    <t>2505</t>
  </si>
  <si>
    <t>2605</t>
  </si>
  <si>
    <t>2705</t>
  </si>
  <si>
    <t>2805</t>
  </si>
  <si>
    <t>2905</t>
  </si>
  <si>
    <t>3005</t>
  </si>
  <si>
    <t>3105</t>
  </si>
  <si>
    <t>3205</t>
  </si>
  <si>
    <t>3305</t>
  </si>
  <si>
    <t>3405</t>
  </si>
  <si>
    <t>3505</t>
  </si>
  <si>
    <t>3605</t>
  </si>
  <si>
    <t>3705</t>
  </si>
  <si>
    <t>3805</t>
  </si>
  <si>
    <t>3905</t>
  </si>
  <si>
    <t>4005</t>
  </si>
  <si>
    <t>4105</t>
  </si>
  <si>
    <t>4205</t>
  </si>
  <si>
    <t>4305</t>
  </si>
  <si>
    <t>4405</t>
  </si>
  <si>
    <t>4505</t>
  </si>
  <si>
    <t>4605</t>
  </si>
  <si>
    <t>4705</t>
  </si>
  <si>
    <t>4805</t>
  </si>
  <si>
    <t>4905</t>
  </si>
  <si>
    <t>5005</t>
  </si>
  <si>
    <t>5105</t>
  </si>
  <si>
    <t>5205</t>
  </si>
  <si>
    <t>5305</t>
  </si>
  <si>
    <t>5405</t>
  </si>
  <si>
    <t>5505</t>
  </si>
  <si>
    <t>5605</t>
  </si>
  <si>
    <t>5705</t>
  </si>
  <si>
    <t>5805</t>
  </si>
  <si>
    <t>5905</t>
  </si>
  <si>
    <t>6005</t>
  </si>
  <si>
    <t>6105</t>
  </si>
  <si>
    <t>6205</t>
  </si>
  <si>
    <t>6305</t>
  </si>
  <si>
    <t>westGirder</t>
  </si>
  <si>
    <t>0006</t>
  </si>
  <si>
    <t>0106</t>
  </si>
  <si>
    <t>0206</t>
  </si>
  <si>
    <t>0306</t>
  </si>
  <si>
    <t>0406</t>
  </si>
  <si>
    <t>0506</t>
  </si>
  <si>
    <t>0606</t>
  </si>
  <si>
    <t>0706</t>
  </si>
  <si>
    <t>0806</t>
  </si>
  <si>
    <t>0906</t>
  </si>
  <si>
    <t>1006</t>
  </si>
  <si>
    <t>1106</t>
  </si>
  <si>
    <t>1206</t>
  </si>
  <si>
    <t>1306</t>
  </si>
  <si>
    <t>1406</t>
  </si>
  <si>
    <t>1506</t>
  </si>
  <si>
    <t>1606</t>
  </si>
  <si>
    <t>1706</t>
  </si>
  <si>
    <t>1806</t>
  </si>
  <si>
    <t>1906</t>
  </si>
  <si>
    <t>2006</t>
  </si>
  <si>
    <t>2106</t>
  </si>
  <si>
    <t>2206</t>
  </si>
  <si>
    <t>2306</t>
  </si>
  <si>
    <t>2406</t>
  </si>
  <si>
    <t>2506</t>
  </si>
  <si>
    <t>2606</t>
  </si>
  <si>
    <t>2706</t>
  </si>
  <si>
    <t>2806</t>
  </si>
  <si>
    <t>2906</t>
  </si>
  <si>
    <t>3006</t>
  </si>
  <si>
    <t>3106</t>
  </si>
  <si>
    <t>3206</t>
  </si>
  <si>
    <t>3306</t>
  </si>
  <si>
    <t>3406</t>
  </si>
  <si>
    <t>3506</t>
  </si>
  <si>
    <t>3606</t>
  </si>
  <si>
    <t>3706</t>
  </si>
  <si>
    <t>3806</t>
  </si>
  <si>
    <t>3906</t>
  </si>
  <si>
    <t>4006</t>
  </si>
  <si>
    <t>4106</t>
  </si>
  <si>
    <t>4206</t>
  </si>
  <si>
    <t>4306</t>
  </si>
  <si>
    <t>4406</t>
  </si>
  <si>
    <t>4506</t>
  </si>
  <si>
    <t>4606</t>
  </si>
  <si>
    <t>4706</t>
  </si>
  <si>
    <t>4806</t>
  </si>
  <si>
    <t>4906</t>
  </si>
  <si>
    <t>5006</t>
  </si>
  <si>
    <t>5106</t>
  </si>
  <si>
    <t>5206</t>
  </si>
  <si>
    <t>5306</t>
  </si>
  <si>
    <t>5406</t>
  </si>
  <si>
    <t>5506</t>
  </si>
  <si>
    <t>5606</t>
  </si>
  <si>
    <t>5706</t>
  </si>
  <si>
    <t>5806</t>
  </si>
  <si>
    <t>5906</t>
  </si>
  <si>
    <t>6006</t>
  </si>
  <si>
    <t>6106</t>
  </si>
  <si>
    <t>6206</t>
  </si>
  <si>
    <t>6306</t>
  </si>
  <si>
    <t>eastGirder</t>
  </si>
  <si>
    <t>ptype</t>
  </si>
  <si>
    <t>hc</t>
  </si>
  <si>
    <t>5C</t>
  </si>
  <si>
    <t>6C</t>
  </si>
  <si>
    <t>5B</t>
  </si>
  <si>
    <t>5A</t>
  </si>
  <si>
    <t>pierType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</si>
</sst>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modelInfo!$C$2:$C$70</c:f>
              <c:numCache>
                <c:formatCode>General</c:formatCode>
                <c:ptCount val="69"/>
                <c:pt idx="0">
                  <c:v>15483.773499999999</c:v>
                </c:pt>
                <c:pt idx="1">
                  <c:v>15233.550999999999</c:v>
                </c:pt>
                <c:pt idx="2">
                  <c:v>14982.044900000001</c:v>
                </c:pt>
                <c:pt idx="3">
                  <c:v>14304.67</c:v>
                </c:pt>
                <c:pt idx="4">
                  <c:v>13867.809499999999</c:v>
                </c:pt>
                <c:pt idx="5">
                  <c:v>13397.9809</c:v>
                </c:pt>
                <c:pt idx="6">
                  <c:v>12914.040800000001</c:v>
                </c:pt>
                <c:pt idx="7">
                  <c:v>12418.366599999999</c:v>
                </c:pt>
                <c:pt idx="8">
                  <c:v>11743.536</c:v>
                </c:pt>
                <c:pt idx="9">
                  <c:v>11293.729799999999</c:v>
                </c:pt>
                <c:pt idx="10">
                  <c:v>10848.534600000001</c:v>
                </c:pt>
                <c:pt idx="11">
                  <c:v>10416.2606</c:v>
                </c:pt>
                <c:pt idx="12">
                  <c:v>9995.6399000000001</c:v>
                </c:pt>
                <c:pt idx="13">
                  <c:v>9419.8268000000007</c:v>
                </c:pt>
                <c:pt idx="14">
                  <c:v>9093.6429000000007</c:v>
                </c:pt>
                <c:pt idx="15">
                  <c:v>8786.5195999999996</c:v>
                </c:pt>
                <c:pt idx="16">
                  <c:v>8511.3863999999994</c:v>
                </c:pt>
                <c:pt idx="17">
                  <c:v>8257.7464999999993</c:v>
                </c:pt>
                <c:pt idx="18">
                  <c:v>7929.6471000000001</c:v>
                </c:pt>
                <c:pt idx="19">
                  <c:v>7743.9377000000004</c:v>
                </c:pt>
                <c:pt idx="20">
                  <c:v>7582.5762999999997</c:v>
                </c:pt>
                <c:pt idx="21">
                  <c:v>7440.7723999999998</c:v>
                </c:pt>
                <c:pt idx="22">
                  <c:v>7355.3967000000002</c:v>
                </c:pt>
                <c:pt idx="23">
                  <c:v>7229.7803000000004</c:v>
                </c:pt>
                <c:pt idx="24">
                  <c:v>7173.7794999999996</c:v>
                </c:pt>
                <c:pt idx="25">
                  <c:v>7140.9323000000004</c:v>
                </c:pt>
                <c:pt idx="26">
                  <c:v>7112.1720999999998</c:v>
                </c:pt>
                <c:pt idx="27">
                  <c:v>7089.1617999999999</c:v>
                </c:pt>
                <c:pt idx="28">
                  <c:v>7077.9198999999999</c:v>
                </c:pt>
                <c:pt idx="29">
                  <c:v>7075.7464</c:v>
                </c:pt>
                <c:pt idx="30">
                  <c:v>7074.2871999999998</c:v>
                </c:pt>
                <c:pt idx="31">
                  <c:v>7073.3473999999997</c:v>
                </c:pt>
                <c:pt idx="32">
                  <c:v>7072.2825999999995</c:v>
                </c:pt>
                <c:pt idx="33">
                  <c:v>7071.4062999999996</c:v>
                </c:pt>
                <c:pt idx="34">
                  <c:v>7070.4488000000001</c:v>
                </c:pt>
                <c:pt idx="35">
                  <c:v>7069.3675000000003</c:v>
                </c:pt>
                <c:pt idx="36">
                  <c:v>7068.1661999999997</c:v>
                </c:pt>
                <c:pt idx="37">
                  <c:v>7067.5573999999997</c:v>
                </c:pt>
                <c:pt idx="38">
                  <c:v>7067.1833999999999</c:v>
                </c:pt>
                <c:pt idx="39">
                  <c:v>7067.1095999999998</c:v>
                </c:pt>
                <c:pt idx="40">
                  <c:v>7067.6234999999997</c:v>
                </c:pt>
                <c:pt idx="41">
                  <c:v>7068.2584999999999</c:v>
                </c:pt>
                <c:pt idx="42">
                  <c:v>7069.0995000000003</c:v>
                </c:pt>
                <c:pt idx="43">
                  <c:v>7070.1307999999999</c:v>
                </c:pt>
                <c:pt idx="44">
                  <c:v>7072.2025000000003</c:v>
                </c:pt>
                <c:pt idx="45">
                  <c:v>7073.634</c:v>
                </c:pt>
                <c:pt idx="46">
                  <c:v>7075.1619000000001</c:v>
                </c:pt>
                <c:pt idx="47">
                  <c:v>7076.7437</c:v>
                </c:pt>
                <c:pt idx="48">
                  <c:v>7079.4229999999998</c:v>
                </c:pt>
                <c:pt idx="49">
                  <c:v>7081.5583999999999</c:v>
                </c:pt>
                <c:pt idx="50">
                  <c:v>7083.5851000000002</c:v>
                </c:pt>
                <c:pt idx="51">
                  <c:v>7085.4818999999998</c:v>
                </c:pt>
                <c:pt idx="52">
                  <c:v>7087.4763000000003</c:v>
                </c:pt>
                <c:pt idx="53">
                  <c:v>7088.4461000000001</c:v>
                </c:pt>
                <c:pt idx="54">
                  <c:v>7089.0217000000002</c:v>
                </c:pt>
                <c:pt idx="55">
                  <c:v>7089.0969999999998</c:v>
                </c:pt>
                <c:pt idx="56">
                  <c:v>7088.5864000000001</c:v>
                </c:pt>
                <c:pt idx="57">
                  <c:v>7086.5002000000004</c:v>
                </c:pt>
                <c:pt idx="58">
                  <c:v>7084.3401999999996</c:v>
                </c:pt>
                <c:pt idx="59">
                  <c:v>7082.1512000000002</c:v>
                </c:pt>
                <c:pt idx="60">
                  <c:v>7080.6212999999998</c:v>
                </c:pt>
                <c:pt idx="61">
                  <c:v>7080.3845000000001</c:v>
                </c:pt>
                <c:pt idx="62">
                  <c:v>7083.8936000000003</c:v>
                </c:pt>
                <c:pt idx="63">
                  <c:v>7089.1617999999999</c:v>
                </c:pt>
                <c:pt idx="64">
                  <c:v>7097.3450999999995</c:v>
                </c:pt>
                <c:pt idx="65">
                  <c:v>7106.7071999999998</c:v>
                </c:pt>
                <c:pt idx="66">
                  <c:v>7136.8689000000004</c:v>
                </c:pt>
                <c:pt idx="67">
                  <c:v>7164.1526000000003</c:v>
                </c:pt>
                <c:pt idx="68">
                  <c:v>7206.3050999999996</c:v>
                </c:pt>
              </c:numCache>
            </c:numRef>
          </c:xVal>
          <c:yVal>
            <c:numRef>
              <c:f>modelInfo!$D$2:$D$70</c:f>
              <c:numCache>
                <c:formatCode>General</c:formatCode>
                <c:ptCount val="69"/>
                <c:pt idx="0">
                  <c:v>561.92520000000002</c:v>
                </c:pt>
                <c:pt idx="1">
                  <c:v>1514.4402</c:v>
                </c:pt>
                <c:pt idx="2">
                  <c:v>2332.9126999999999</c:v>
                </c:pt>
                <c:pt idx="3">
                  <c:v>4154.5767999999998</c:v>
                </c:pt>
                <c:pt idx="4">
                  <c:v>5164.9093999999996</c:v>
                </c:pt>
                <c:pt idx="5">
                  <c:v>6174.7349000000004</c:v>
                </c:pt>
                <c:pt idx="6">
                  <c:v>7168.0447000000004</c:v>
                </c:pt>
                <c:pt idx="7">
                  <c:v>8162.5126</c:v>
                </c:pt>
                <c:pt idx="8">
                  <c:v>9518.3803000000007</c:v>
                </c:pt>
                <c:pt idx="9">
                  <c:v>10440.243200000001</c:v>
                </c:pt>
                <c:pt idx="10">
                  <c:v>11371.7016</c:v>
                </c:pt>
                <c:pt idx="11">
                  <c:v>12298.7942</c:v>
                </c:pt>
                <c:pt idx="12">
                  <c:v>13238.549800000001</c:v>
                </c:pt>
                <c:pt idx="13">
                  <c:v>14640.3976</c:v>
                </c:pt>
                <c:pt idx="14">
                  <c:v>15514.191800000001</c:v>
                </c:pt>
                <c:pt idx="15">
                  <c:v>16390.671300000002</c:v>
                </c:pt>
                <c:pt idx="16">
                  <c:v>17281.751899999999</c:v>
                </c:pt>
                <c:pt idx="17">
                  <c:v>18179.9833</c:v>
                </c:pt>
                <c:pt idx="18">
                  <c:v>19510.650000000001</c:v>
                </c:pt>
                <c:pt idx="19">
                  <c:v>20422.172299999998</c:v>
                </c:pt>
                <c:pt idx="20">
                  <c:v>21332.774300000001</c:v>
                </c:pt>
                <c:pt idx="21">
                  <c:v>22382.569200000002</c:v>
                </c:pt>
                <c:pt idx="22">
                  <c:v>23160.0831</c:v>
                </c:pt>
                <c:pt idx="23">
                  <c:v>24528.586500000001</c:v>
                </c:pt>
                <c:pt idx="24">
                  <c:v>25421.793099999999</c:v>
                </c:pt>
                <c:pt idx="25">
                  <c:v>26315.517400000001</c:v>
                </c:pt>
                <c:pt idx="26">
                  <c:v>27207.753700000001</c:v>
                </c:pt>
                <c:pt idx="27">
                  <c:v>28097.487099999998</c:v>
                </c:pt>
                <c:pt idx="28">
                  <c:v>29615.037899999999</c:v>
                </c:pt>
                <c:pt idx="29">
                  <c:v>30705.7196</c:v>
                </c:pt>
                <c:pt idx="30">
                  <c:v>31797.8269</c:v>
                </c:pt>
                <c:pt idx="31">
                  <c:v>32898.2019</c:v>
                </c:pt>
                <c:pt idx="32">
                  <c:v>34257.8825</c:v>
                </c:pt>
                <c:pt idx="33">
                  <c:v>35150.5942</c:v>
                </c:pt>
                <c:pt idx="34">
                  <c:v>36041.289900000003</c:v>
                </c:pt>
                <c:pt idx="35">
                  <c:v>37043.678500000002</c:v>
                </c:pt>
                <c:pt idx="36">
                  <c:v>38302.8249</c:v>
                </c:pt>
                <c:pt idx="37">
                  <c:v>39148.885000000002</c:v>
                </c:pt>
                <c:pt idx="38">
                  <c:v>39998.393900000003</c:v>
                </c:pt>
                <c:pt idx="39">
                  <c:v>40844.719599999997</c:v>
                </c:pt>
                <c:pt idx="40">
                  <c:v>42207.787400000001</c:v>
                </c:pt>
                <c:pt idx="41">
                  <c:v>43020.639199999998</c:v>
                </c:pt>
                <c:pt idx="42">
                  <c:v>43827.8073</c:v>
                </c:pt>
                <c:pt idx="43">
                  <c:v>44639.664900000003</c:v>
                </c:pt>
                <c:pt idx="44">
                  <c:v>45999.938499999997</c:v>
                </c:pt>
                <c:pt idx="45">
                  <c:v>46830.446300000003</c:v>
                </c:pt>
                <c:pt idx="46">
                  <c:v>47663.3433</c:v>
                </c:pt>
                <c:pt idx="47">
                  <c:v>48491.147499999999</c:v>
                </c:pt>
                <c:pt idx="48">
                  <c:v>49860.215499999998</c:v>
                </c:pt>
                <c:pt idx="49">
                  <c:v>50959.929799999998</c:v>
                </c:pt>
                <c:pt idx="50">
                  <c:v>52047.267599999999</c:v>
                </c:pt>
                <c:pt idx="51">
                  <c:v>53145.681600000004</c:v>
                </c:pt>
                <c:pt idx="52">
                  <c:v>54508.645299999996</c:v>
                </c:pt>
                <c:pt idx="53">
                  <c:v>55417.222099999999</c:v>
                </c:pt>
                <c:pt idx="54">
                  <c:v>56334.352299999999</c:v>
                </c:pt>
                <c:pt idx="55">
                  <c:v>57246.363100000002</c:v>
                </c:pt>
                <c:pt idx="56">
                  <c:v>58152.974699999999</c:v>
                </c:pt>
                <c:pt idx="57">
                  <c:v>59523.511500000001</c:v>
                </c:pt>
                <c:pt idx="58">
                  <c:v>60429.571199999998</c:v>
                </c:pt>
                <c:pt idx="59">
                  <c:v>61345.7765</c:v>
                </c:pt>
                <c:pt idx="60">
                  <c:v>62257.951500000003</c:v>
                </c:pt>
                <c:pt idx="61">
                  <c:v>63156.636599999998</c:v>
                </c:pt>
                <c:pt idx="62">
                  <c:v>64532.043400000002</c:v>
                </c:pt>
                <c:pt idx="63">
                  <c:v>65370.7952</c:v>
                </c:pt>
                <c:pt idx="64">
                  <c:v>66203.498900000006</c:v>
                </c:pt>
                <c:pt idx="65">
                  <c:v>66893.224900000001</c:v>
                </c:pt>
                <c:pt idx="66">
                  <c:v>68405.054000000004</c:v>
                </c:pt>
                <c:pt idx="67">
                  <c:v>69318.062600000005</c:v>
                </c:pt>
                <c:pt idx="68">
                  <c:v>70226.879000000001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7F-486B-A0CC-8B9DA9839F2A}"/>
            </c:ext>
          </c:extLst>
        </c:ser>
        <c:ser>
          <c:idx val="1"/>
          <c:order val="1"/>
          <c:tx>
            <c:v>west_nodes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modelInfo!$J$2:$J$70</c:f>
              <c:strCache>
                <c:ptCount val="69"/>
                <c:pt idx="0">
                  <c:v>5C</c:v>
                </c:pt>
                <c:pt idx="1">
                  <c:v>5C</c:v>
                </c:pt>
                <c:pt idx="2">
                  <c:v>5C</c:v>
                </c:pt>
                <c:pt idx="3">
                  <c:v>5C</c:v>
                </c:pt>
                <c:pt idx="4">
                  <c:v>5C</c:v>
                </c:pt>
                <c:pt idx="5">
                  <c:v>5C</c:v>
                </c:pt>
                <c:pt idx="6">
                  <c:v>5C</c:v>
                </c:pt>
                <c:pt idx="7">
                  <c:v>6C</c:v>
                </c:pt>
                <c:pt idx="8">
                  <c:v>6C</c:v>
                </c:pt>
                <c:pt idx="9">
                  <c:v>5C</c:v>
                </c:pt>
                <c:pt idx="10">
                  <c:v>5C</c:v>
                </c:pt>
                <c:pt idx="11">
                  <c:v>5C</c:v>
                </c:pt>
                <c:pt idx="12">
                  <c:v>6C</c:v>
                </c:pt>
                <c:pt idx="13">
                  <c:v>6C</c:v>
                </c:pt>
                <c:pt idx="14">
                  <c:v>5C</c:v>
                </c:pt>
                <c:pt idx="15">
                  <c:v>5C</c:v>
                </c:pt>
                <c:pt idx="16">
                  <c:v>5C</c:v>
                </c:pt>
                <c:pt idx="17">
                  <c:v>6C</c:v>
                </c:pt>
                <c:pt idx="18">
                  <c:v>6C</c:v>
                </c:pt>
                <c:pt idx="19">
                  <c:v>5C</c:v>
                </c:pt>
                <c:pt idx="20">
                  <c:v>5C</c:v>
                </c:pt>
                <c:pt idx="21">
                  <c:v>5C</c:v>
                </c:pt>
                <c:pt idx="22">
                  <c:v>5C</c:v>
                </c:pt>
                <c:pt idx="23">
                  <c:v>5C</c:v>
                </c:pt>
                <c:pt idx="24">
                  <c:v>5C</c:v>
                </c:pt>
                <c:pt idx="25">
                  <c:v>5C</c:v>
                </c:pt>
                <c:pt idx="26">
                  <c:v>5C</c:v>
                </c:pt>
                <c:pt idx="27">
                  <c:v>5C</c:v>
                </c:pt>
                <c:pt idx="28">
                  <c:v>5B</c:v>
                </c:pt>
                <c:pt idx="29">
                  <c:v>5B</c:v>
                </c:pt>
                <c:pt idx="30">
                  <c:v>5A</c:v>
                </c:pt>
                <c:pt idx="31">
                  <c:v>5A</c:v>
                </c:pt>
                <c:pt idx="32">
                  <c:v>5A</c:v>
                </c:pt>
                <c:pt idx="33">
                  <c:v>5A</c:v>
                </c:pt>
                <c:pt idx="34">
                  <c:v>5A</c:v>
                </c:pt>
                <c:pt idx="35">
                  <c:v>5A</c:v>
                </c:pt>
                <c:pt idx="36">
                  <c:v>5A</c:v>
                </c:pt>
                <c:pt idx="37">
                  <c:v>5A</c:v>
                </c:pt>
                <c:pt idx="38">
                  <c:v>5A</c:v>
                </c:pt>
                <c:pt idx="39">
                  <c:v>5A</c:v>
                </c:pt>
                <c:pt idx="40">
                  <c:v>5A</c:v>
                </c:pt>
                <c:pt idx="41">
                  <c:v>5A</c:v>
                </c:pt>
                <c:pt idx="42">
                  <c:v>5A</c:v>
                </c:pt>
                <c:pt idx="43">
                  <c:v>5A</c:v>
                </c:pt>
                <c:pt idx="44">
                  <c:v>5A</c:v>
                </c:pt>
                <c:pt idx="45">
                  <c:v>5A</c:v>
                </c:pt>
                <c:pt idx="46">
                  <c:v>5A</c:v>
                </c:pt>
                <c:pt idx="47">
                  <c:v>5A</c:v>
                </c:pt>
                <c:pt idx="48">
                  <c:v>5A</c:v>
                </c:pt>
                <c:pt idx="49">
                  <c:v>5A</c:v>
                </c:pt>
                <c:pt idx="50">
                  <c:v>5A</c:v>
                </c:pt>
                <c:pt idx="51">
                  <c:v>5A</c:v>
                </c:pt>
                <c:pt idx="52">
                  <c:v>5A</c:v>
                </c:pt>
                <c:pt idx="53">
                  <c:v>5A</c:v>
                </c:pt>
                <c:pt idx="54">
                  <c:v>5A</c:v>
                </c:pt>
                <c:pt idx="55">
                  <c:v>5A</c:v>
                </c:pt>
                <c:pt idx="56">
                  <c:v>5A</c:v>
                </c:pt>
                <c:pt idx="57">
                  <c:v>5A</c:v>
                </c:pt>
                <c:pt idx="58">
                  <c:v>5A</c:v>
                </c:pt>
                <c:pt idx="59">
                  <c:v>5A</c:v>
                </c:pt>
                <c:pt idx="60">
                  <c:v>5A</c:v>
                </c:pt>
                <c:pt idx="61">
                  <c:v>5A</c:v>
                </c:pt>
                <c:pt idx="62">
                  <c:v>5A</c:v>
                </c:pt>
                <c:pt idx="63">
                  <c:v>5B</c:v>
                </c:pt>
                <c:pt idx="64">
                  <c:v>5B</c:v>
                </c:pt>
                <c:pt idx="65">
                  <c:v>5B</c:v>
                </c:pt>
                <c:pt idx="66">
                  <c:v>5B</c:v>
                </c:pt>
                <c:pt idx="67">
                  <c:v>5B</c:v>
                </c:pt>
                <c:pt idx="68">
                  <c:v>5B</c:v>
                </c:pt>
              </c:strCache>
            </c:strRef>
          </c:xVal>
          <c:yVal>
            <c:numRef>
              <c:f>modelInfo!$K$2:$K$70</c:f>
              <c:numCache>
                <c:formatCode>General</c:formatCode>
                <c:ptCount val="6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7F-486B-A0CC-8B9DA9839F2A}"/>
            </c:ext>
          </c:extLst>
        </c:ser>
        <c:ser>
          <c:idx val="2"/>
          <c:order val="2"/>
          <c:tx>
            <c:v>east_nodes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modelInfo!$L$2:$L$70</c:f>
              <c:numCache>
                <c:formatCode>General</c:formatCode>
                <c:ptCount val="69"/>
              </c:numCache>
            </c:numRef>
          </c:xVal>
          <c:yVal>
            <c:numRef>
              <c:f>modelInfo!$M$2:$M$70</c:f>
              <c:numCache>
                <c:formatCode>General</c:formatCode>
                <c:ptCount val="6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7F-486B-A0CC-8B9DA9839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065728"/>
        <c:axId val="1256066208"/>
      </c:scatterChart>
      <c:valAx>
        <c:axId val="1256065728"/>
        <c:scaling>
          <c:orientation val="minMax"/>
          <c:max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66208"/>
        <c:crosses val="autoZero"/>
        <c:crossBetween val="midCat"/>
      </c:valAx>
      <c:valAx>
        <c:axId val="125606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6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79562</xdr:colOff>
      <xdr:row>1</xdr:row>
      <xdr:rowOff>185458</xdr:rowOff>
    </xdr:from>
    <xdr:to>
      <xdr:col>32</xdr:col>
      <xdr:colOff>162485</xdr:colOff>
      <xdr:row>39</xdr:row>
      <xdr:rowOff>17370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41711-452A-02E9-C894-315C01F6E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4E4C-8393-44AD-8706-20B4E356B02D}">
  <dimension ref="A1:Q70"/>
  <sheetViews>
    <sheetView zoomScale="156" zoomScaleNormal="100" workbookViewId="0">
      <selection activeCell="J71" sqref="J71"/>
    </sheetView>
  </sheetViews>
  <sheetFormatPr baseColWidth="10" defaultColWidth="8.83203125" defaultRowHeight="15" x14ac:dyDescent="0.2"/>
  <cols>
    <col min="2" max="2" width="12.1640625" customWidth="1"/>
    <col min="5" max="7" width="9.83203125" customWidth="1"/>
    <col min="8" max="8" width="12" bestFit="1" customWidth="1"/>
  </cols>
  <sheetData>
    <row r="1" spans="1:17" x14ac:dyDescent="0.2">
      <c r="A1" t="s">
        <v>0</v>
      </c>
      <c r="B1" t="s">
        <v>4</v>
      </c>
      <c r="C1" t="s">
        <v>2</v>
      </c>
      <c r="D1" t="s">
        <v>3</v>
      </c>
      <c r="E1" t="s">
        <v>1</v>
      </c>
      <c r="F1" t="s">
        <v>77</v>
      </c>
      <c r="G1" t="s">
        <v>78</v>
      </c>
      <c r="H1" t="s">
        <v>6</v>
      </c>
      <c r="I1" t="s">
        <v>213</v>
      </c>
      <c r="J1" t="s">
        <v>685</v>
      </c>
      <c r="K1" t="s">
        <v>680</v>
      </c>
    </row>
    <row r="2" spans="1:17" x14ac:dyDescent="0.2">
      <c r="A2">
        <v>-2</v>
      </c>
      <c r="C2">
        <v>15483.773499999999</v>
      </c>
      <c r="D2">
        <v>561.92520000000002</v>
      </c>
      <c r="E2">
        <v>0</v>
      </c>
      <c r="H2">
        <f>ATAN((C3-C2)/(D3-D2))</f>
        <v>-0.25689229506811406</v>
      </c>
      <c r="J2" t="s">
        <v>681</v>
      </c>
      <c r="K2">
        <v>25</v>
      </c>
    </row>
    <row r="3" spans="1:17" x14ac:dyDescent="0.2">
      <c r="A3">
        <v>-1</v>
      </c>
      <c r="C3">
        <v>15233.550999999999</v>
      </c>
      <c r="D3">
        <v>1514.4402</v>
      </c>
      <c r="E3">
        <v>0</v>
      </c>
      <c r="H3">
        <f t="shared" ref="H3" si="0">ATAN((C4-C3)/(D4-D3))</f>
        <v>-0.29812879265204145</v>
      </c>
      <c r="J3" t="s">
        <v>681</v>
      </c>
      <c r="K3">
        <v>25</v>
      </c>
      <c r="O3" t="s">
        <v>212</v>
      </c>
    </row>
    <row r="4" spans="1:17" x14ac:dyDescent="0.2">
      <c r="A4">
        <v>0</v>
      </c>
      <c r="C4">
        <v>14982.044900000001</v>
      </c>
      <c r="D4">
        <v>2332.9126999999999</v>
      </c>
      <c r="E4">
        <v>0</v>
      </c>
      <c r="F4">
        <v>24</v>
      </c>
      <c r="G4">
        <f>+F4*12</f>
        <v>288</v>
      </c>
      <c r="H4">
        <f t="shared" ref="H4:H35" si="1">ATAN((C5-C4)/(D5-D4))</f>
        <v>-0.35600091594237021</v>
      </c>
      <c r="I4" s="3">
        <v>7.9409999999999998</v>
      </c>
      <c r="J4" t="s">
        <v>681</v>
      </c>
      <c r="K4">
        <v>25</v>
      </c>
      <c r="O4" t="s">
        <v>210</v>
      </c>
      <c r="P4">
        <f>5*12</f>
        <v>60</v>
      </c>
      <c r="Q4" t="s">
        <v>211</v>
      </c>
    </row>
    <row r="5" spans="1:17" x14ac:dyDescent="0.2">
      <c r="A5">
        <v>1</v>
      </c>
      <c r="C5">
        <v>14304.67</v>
      </c>
      <c r="D5">
        <v>4154.5767999999998</v>
      </c>
      <c r="E5">
        <v>0</v>
      </c>
      <c r="F5">
        <v>24.4</v>
      </c>
      <c r="G5">
        <f t="shared" ref="G5:G68" si="2">+F5*12</f>
        <v>292.79999999999995</v>
      </c>
      <c r="H5">
        <f t="shared" si="1"/>
        <v>-0.40811567957949785</v>
      </c>
      <c r="I5" s="3">
        <v>7.9409999999999998</v>
      </c>
      <c r="J5" t="s">
        <v>681</v>
      </c>
      <c r="K5">
        <v>25</v>
      </c>
    </row>
    <row r="6" spans="1:17" x14ac:dyDescent="0.2">
      <c r="A6">
        <v>2</v>
      </c>
      <c r="C6">
        <v>13867.809499999999</v>
      </c>
      <c r="D6">
        <v>5164.9093999999996</v>
      </c>
      <c r="E6">
        <v>0</v>
      </c>
      <c r="F6">
        <v>24.4</v>
      </c>
      <c r="G6">
        <f t="shared" si="2"/>
        <v>292.79999999999995</v>
      </c>
      <c r="H6">
        <f t="shared" si="1"/>
        <v>-0.43546913861120745</v>
      </c>
      <c r="I6" s="3">
        <v>7.9409999999999998</v>
      </c>
      <c r="J6" t="s">
        <v>681</v>
      </c>
      <c r="K6">
        <v>25</v>
      </c>
    </row>
    <row r="7" spans="1:17" x14ac:dyDescent="0.2">
      <c r="A7">
        <v>3</v>
      </c>
      <c r="C7">
        <v>13397.9809</v>
      </c>
      <c r="D7">
        <v>6174.7349000000004</v>
      </c>
      <c r="E7">
        <v>0</v>
      </c>
      <c r="F7">
        <v>24.4</v>
      </c>
      <c r="G7">
        <f t="shared" si="2"/>
        <v>292.79999999999995</v>
      </c>
      <c r="H7">
        <f t="shared" si="1"/>
        <v>-0.45335492026535412</v>
      </c>
      <c r="I7" s="3">
        <v>7.9409999999999998</v>
      </c>
      <c r="J7" t="s">
        <v>681</v>
      </c>
      <c r="K7">
        <v>25</v>
      </c>
    </row>
    <row r="8" spans="1:17" x14ac:dyDescent="0.2">
      <c r="A8">
        <v>4</v>
      </c>
      <c r="C8">
        <v>12914.040800000001</v>
      </c>
      <c r="D8">
        <v>7168.0447000000004</v>
      </c>
      <c r="E8">
        <v>0</v>
      </c>
      <c r="F8">
        <v>24.1</v>
      </c>
      <c r="G8">
        <f t="shared" si="2"/>
        <v>289.20000000000005</v>
      </c>
      <c r="H8">
        <f t="shared" si="1"/>
        <v>-0.46239208062377551</v>
      </c>
      <c r="I8" s="3">
        <v>7.6210000000000004</v>
      </c>
      <c r="J8" t="s">
        <v>681</v>
      </c>
      <c r="K8">
        <v>25</v>
      </c>
    </row>
    <row r="9" spans="1:17" x14ac:dyDescent="0.2">
      <c r="A9">
        <v>5</v>
      </c>
      <c r="C9">
        <v>12418.366599999999</v>
      </c>
      <c r="D9">
        <v>8162.5126</v>
      </c>
      <c r="E9">
        <v>0</v>
      </c>
      <c r="F9">
        <v>24.3</v>
      </c>
      <c r="G9">
        <f t="shared" si="2"/>
        <v>291.60000000000002</v>
      </c>
      <c r="H9">
        <f t="shared" si="1"/>
        <v>-0.46181492862446794</v>
      </c>
      <c r="I9" s="3">
        <v>7.4950000000000001</v>
      </c>
      <c r="J9" t="s">
        <v>682</v>
      </c>
      <c r="K9">
        <v>25</v>
      </c>
    </row>
    <row r="10" spans="1:17" x14ac:dyDescent="0.2">
      <c r="A10">
        <v>6</v>
      </c>
      <c r="C10">
        <v>11743.536</v>
      </c>
      <c r="D10">
        <v>9518.3803000000007</v>
      </c>
      <c r="E10">
        <v>0</v>
      </c>
      <c r="F10">
        <v>24.3</v>
      </c>
      <c r="G10">
        <f t="shared" si="2"/>
        <v>291.60000000000002</v>
      </c>
      <c r="H10">
        <f t="shared" si="1"/>
        <v>-0.45394650084695742</v>
      </c>
      <c r="I10" s="3">
        <v>7.5389999999999997</v>
      </c>
      <c r="J10" t="s">
        <v>682</v>
      </c>
      <c r="K10">
        <v>25</v>
      </c>
    </row>
    <row r="11" spans="1:17" x14ac:dyDescent="0.2">
      <c r="A11">
        <v>7</v>
      </c>
      <c r="C11">
        <v>11293.729799999999</v>
      </c>
      <c r="D11">
        <v>10440.243200000001</v>
      </c>
      <c r="E11">
        <v>0</v>
      </c>
      <c r="F11">
        <v>23.9</v>
      </c>
      <c r="G11">
        <f t="shared" si="2"/>
        <v>286.79999999999995</v>
      </c>
      <c r="H11">
        <f t="shared" si="1"/>
        <v>-0.44585658891366786</v>
      </c>
      <c r="I11" s="3">
        <v>7.641</v>
      </c>
      <c r="J11" t="s">
        <v>681</v>
      </c>
      <c r="K11">
        <v>25</v>
      </c>
    </row>
    <row r="12" spans="1:17" x14ac:dyDescent="0.2">
      <c r="A12">
        <v>8</v>
      </c>
      <c r="C12">
        <v>10848.534600000001</v>
      </c>
      <c r="D12">
        <v>11371.7016</v>
      </c>
      <c r="E12">
        <v>0</v>
      </c>
      <c r="F12">
        <v>24.5</v>
      </c>
      <c r="G12">
        <f t="shared" si="2"/>
        <v>294</v>
      </c>
      <c r="H12">
        <f t="shared" si="1"/>
        <v>-0.43630008094575989</v>
      </c>
      <c r="I12" s="3">
        <v>7.7779999999999996</v>
      </c>
      <c r="J12" t="s">
        <v>681</v>
      </c>
      <c r="K12">
        <v>25</v>
      </c>
    </row>
    <row r="13" spans="1:17" x14ac:dyDescent="0.2">
      <c r="A13">
        <v>9</v>
      </c>
      <c r="C13">
        <v>10416.2606</v>
      </c>
      <c r="D13">
        <v>12298.7942</v>
      </c>
      <c r="E13">
        <v>0</v>
      </c>
      <c r="F13">
        <v>24.1</v>
      </c>
      <c r="G13">
        <f t="shared" si="2"/>
        <v>289.20000000000005</v>
      </c>
      <c r="H13">
        <f t="shared" si="1"/>
        <v>-0.42084396442682015</v>
      </c>
      <c r="I13" s="3">
        <v>7.9269999999999996</v>
      </c>
      <c r="J13" t="s">
        <v>681</v>
      </c>
      <c r="K13">
        <v>25</v>
      </c>
    </row>
    <row r="14" spans="1:17" x14ac:dyDescent="0.2">
      <c r="A14">
        <v>10</v>
      </c>
      <c r="C14">
        <v>9995.6399000000001</v>
      </c>
      <c r="D14">
        <v>13238.549800000001</v>
      </c>
      <c r="E14">
        <v>0</v>
      </c>
      <c r="F14">
        <v>24.7</v>
      </c>
      <c r="G14">
        <f t="shared" si="2"/>
        <v>296.39999999999998</v>
      </c>
      <c r="H14">
        <f t="shared" si="1"/>
        <v>-0.38974164265973577</v>
      </c>
      <c r="I14" s="3">
        <v>8.0670000000000002</v>
      </c>
      <c r="J14" t="s">
        <v>682</v>
      </c>
      <c r="K14">
        <v>25</v>
      </c>
    </row>
    <row r="15" spans="1:17" x14ac:dyDescent="0.2">
      <c r="A15">
        <v>11</v>
      </c>
      <c r="C15">
        <v>9419.8268000000007</v>
      </c>
      <c r="D15">
        <v>14640.3976</v>
      </c>
      <c r="E15">
        <v>0</v>
      </c>
      <c r="F15">
        <v>24.1</v>
      </c>
      <c r="G15">
        <f t="shared" si="2"/>
        <v>289.20000000000005</v>
      </c>
      <c r="H15">
        <f t="shared" si="1"/>
        <v>-0.35727593659252627</v>
      </c>
      <c r="I15" s="3">
        <v>8.2089999999999996</v>
      </c>
      <c r="J15" t="s">
        <v>682</v>
      </c>
      <c r="K15">
        <v>25</v>
      </c>
    </row>
    <row r="16" spans="1:17" x14ac:dyDescent="0.2">
      <c r="A16">
        <v>12</v>
      </c>
      <c r="C16">
        <v>9093.6429000000007</v>
      </c>
      <c r="D16">
        <v>15514.191800000001</v>
      </c>
      <c r="E16">
        <v>0</v>
      </c>
      <c r="F16">
        <v>29.3</v>
      </c>
      <c r="G16">
        <f t="shared" si="2"/>
        <v>351.6</v>
      </c>
      <c r="H16">
        <f t="shared" si="1"/>
        <v>-0.33703608449173766</v>
      </c>
      <c r="I16" s="3">
        <v>8.2289999999999992</v>
      </c>
      <c r="J16" t="s">
        <v>681</v>
      </c>
      <c r="K16">
        <v>25</v>
      </c>
    </row>
    <row r="17" spans="1:11" x14ac:dyDescent="0.2">
      <c r="A17">
        <v>13</v>
      </c>
      <c r="C17">
        <v>8786.5195999999996</v>
      </c>
      <c r="D17">
        <v>16390.671300000002</v>
      </c>
      <c r="E17">
        <v>0</v>
      </c>
      <c r="F17">
        <v>24.9</v>
      </c>
      <c r="G17">
        <f t="shared" si="2"/>
        <v>298.79999999999995</v>
      </c>
      <c r="H17">
        <f t="shared" si="1"/>
        <v>-0.29947722140376043</v>
      </c>
      <c r="I17" s="3">
        <v>8.8149999999999995</v>
      </c>
      <c r="J17" t="s">
        <v>681</v>
      </c>
      <c r="K17">
        <v>25</v>
      </c>
    </row>
    <row r="18" spans="1:11" x14ac:dyDescent="0.2">
      <c r="A18">
        <v>14</v>
      </c>
      <c r="C18">
        <v>8511.3863999999994</v>
      </c>
      <c r="D18">
        <v>17281.751899999999</v>
      </c>
      <c r="E18">
        <v>0</v>
      </c>
      <c r="F18">
        <v>24.6</v>
      </c>
      <c r="G18">
        <f t="shared" si="2"/>
        <v>295.20000000000005</v>
      </c>
      <c r="H18">
        <f t="shared" si="1"/>
        <v>-0.27521154372269918</v>
      </c>
      <c r="I18" s="3">
        <v>8.1460000000000008</v>
      </c>
      <c r="J18" t="s">
        <v>681</v>
      </c>
      <c r="K18">
        <v>25</v>
      </c>
    </row>
    <row r="19" spans="1:11" x14ac:dyDescent="0.2">
      <c r="A19">
        <v>15</v>
      </c>
      <c r="C19">
        <v>8257.7464999999993</v>
      </c>
      <c r="D19">
        <v>18179.9833</v>
      </c>
      <c r="E19">
        <v>0</v>
      </c>
      <c r="F19">
        <v>24.3</v>
      </c>
      <c r="G19">
        <f t="shared" si="2"/>
        <v>291.60000000000002</v>
      </c>
      <c r="H19">
        <f t="shared" si="1"/>
        <v>-0.24174564379792868</v>
      </c>
      <c r="I19" s="3">
        <v>8.0990000000000002</v>
      </c>
      <c r="J19" t="s">
        <v>682</v>
      </c>
      <c r="K19">
        <v>25</v>
      </c>
    </row>
    <row r="20" spans="1:11" x14ac:dyDescent="0.2">
      <c r="A20">
        <v>16</v>
      </c>
      <c r="C20">
        <v>7929.6471000000001</v>
      </c>
      <c r="D20">
        <v>19510.650000000001</v>
      </c>
      <c r="E20">
        <v>0</v>
      </c>
      <c r="F20">
        <v>23.8</v>
      </c>
      <c r="G20">
        <f t="shared" si="2"/>
        <v>285.60000000000002</v>
      </c>
      <c r="H20">
        <f t="shared" si="1"/>
        <v>-0.20098473866650191</v>
      </c>
      <c r="I20" s="3">
        <v>8.0190000000000001</v>
      </c>
      <c r="J20" t="s">
        <v>682</v>
      </c>
      <c r="K20">
        <v>25</v>
      </c>
    </row>
    <row r="21" spans="1:11" x14ac:dyDescent="0.2">
      <c r="A21">
        <v>17</v>
      </c>
      <c r="C21">
        <v>7743.9377000000004</v>
      </c>
      <c r="D21">
        <v>20422.172299999998</v>
      </c>
      <c r="E21">
        <v>0</v>
      </c>
      <c r="F21">
        <v>24.5</v>
      </c>
      <c r="G21">
        <f t="shared" si="2"/>
        <v>294</v>
      </c>
      <c r="H21">
        <f t="shared" si="1"/>
        <v>-0.17538239520652285</v>
      </c>
      <c r="I21" s="3">
        <v>7.9560000000000004</v>
      </c>
      <c r="J21" t="s">
        <v>681</v>
      </c>
      <c r="K21">
        <v>25</v>
      </c>
    </row>
    <row r="22" spans="1:11" x14ac:dyDescent="0.2">
      <c r="A22">
        <v>18</v>
      </c>
      <c r="C22">
        <v>7582.5762999999997</v>
      </c>
      <c r="D22">
        <v>21332.774300000001</v>
      </c>
      <c r="E22">
        <v>0</v>
      </c>
      <c r="F22">
        <v>24.2</v>
      </c>
      <c r="G22">
        <f t="shared" si="2"/>
        <v>290.39999999999998</v>
      </c>
      <c r="H22">
        <f t="shared" si="1"/>
        <v>-0.13426505461242141</v>
      </c>
      <c r="I22" s="3">
        <v>7.8869999999999996</v>
      </c>
      <c r="J22" t="s">
        <v>681</v>
      </c>
      <c r="K22">
        <v>25</v>
      </c>
    </row>
    <row r="23" spans="1:11" x14ac:dyDescent="0.2">
      <c r="A23">
        <v>19</v>
      </c>
      <c r="C23">
        <v>7440.7723999999998</v>
      </c>
      <c r="D23">
        <v>22382.569200000002</v>
      </c>
      <c r="E23">
        <v>0</v>
      </c>
      <c r="F23">
        <v>23.9</v>
      </c>
      <c r="G23">
        <f t="shared" si="2"/>
        <v>286.79999999999995</v>
      </c>
      <c r="H23">
        <f t="shared" si="1"/>
        <v>-0.10936785312255926</v>
      </c>
      <c r="I23" s="3">
        <v>7.8079999999999998</v>
      </c>
      <c r="J23" t="s">
        <v>681</v>
      </c>
      <c r="K23">
        <v>25</v>
      </c>
    </row>
    <row r="24" spans="1:11" x14ac:dyDescent="0.2">
      <c r="A24">
        <v>20</v>
      </c>
      <c r="C24">
        <v>7355.3967000000002</v>
      </c>
      <c r="D24">
        <v>23160.0831</v>
      </c>
      <c r="E24">
        <v>0</v>
      </c>
      <c r="F24">
        <v>24.6</v>
      </c>
      <c r="G24">
        <f t="shared" si="2"/>
        <v>295.20000000000005</v>
      </c>
      <c r="H24">
        <f t="shared" si="1"/>
        <v>-9.1534573417708404E-2</v>
      </c>
      <c r="I24" s="3">
        <v>7.7119999999999997</v>
      </c>
      <c r="J24" t="s">
        <v>681</v>
      </c>
      <c r="K24">
        <v>25</v>
      </c>
    </row>
    <row r="25" spans="1:11" x14ac:dyDescent="0.2">
      <c r="A25">
        <v>21</v>
      </c>
      <c r="C25">
        <v>7229.7803000000004</v>
      </c>
      <c r="D25">
        <v>24528.586500000001</v>
      </c>
      <c r="E25">
        <v>0</v>
      </c>
      <c r="F25">
        <v>24.1</v>
      </c>
      <c r="G25">
        <f t="shared" si="2"/>
        <v>289.20000000000005</v>
      </c>
      <c r="H25">
        <f t="shared" si="1"/>
        <v>-6.2614400714242222E-2</v>
      </c>
      <c r="I25" s="3">
        <v>7.5529999999999999</v>
      </c>
      <c r="J25" t="s">
        <v>681</v>
      </c>
      <c r="K25">
        <v>25</v>
      </c>
    </row>
    <row r="26" spans="1:11" x14ac:dyDescent="0.2">
      <c r="A26">
        <v>22</v>
      </c>
      <c r="C26">
        <v>7173.7794999999996</v>
      </c>
      <c r="D26">
        <v>25421.793099999999</v>
      </c>
      <c r="E26">
        <v>0</v>
      </c>
      <c r="F26">
        <v>23.8</v>
      </c>
      <c r="G26">
        <f t="shared" si="2"/>
        <v>285.60000000000002</v>
      </c>
      <c r="H26">
        <f t="shared" si="1"/>
        <v>-3.6736633463299126E-2</v>
      </c>
      <c r="I26" s="3">
        <v>7.4459999999999997</v>
      </c>
      <c r="J26" t="s">
        <v>681</v>
      </c>
      <c r="K26">
        <v>25</v>
      </c>
    </row>
    <row r="27" spans="1:11" x14ac:dyDescent="0.2">
      <c r="A27">
        <v>23</v>
      </c>
      <c r="C27">
        <v>7140.9323000000004</v>
      </c>
      <c r="D27">
        <v>26315.517400000001</v>
      </c>
      <c r="E27">
        <v>0</v>
      </c>
      <c r="F27">
        <v>23.5</v>
      </c>
      <c r="G27">
        <f t="shared" si="2"/>
        <v>282</v>
      </c>
      <c r="H27">
        <f t="shared" si="1"/>
        <v>-3.2222680689710688E-2</v>
      </c>
      <c r="I27" s="3">
        <v>7.3410000000000002</v>
      </c>
      <c r="J27" t="s">
        <v>681</v>
      </c>
      <c r="K27">
        <v>25</v>
      </c>
    </row>
    <row r="28" spans="1:11" x14ac:dyDescent="0.2">
      <c r="A28">
        <v>24</v>
      </c>
      <c r="C28">
        <v>7112.1720999999998</v>
      </c>
      <c r="D28">
        <v>27207.753700000001</v>
      </c>
      <c r="E28">
        <v>0</v>
      </c>
      <c r="F28">
        <v>24.2</v>
      </c>
      <c r="G28">
        <f t="shared" si="2"/>
        <v>290.39999999999998</v>
      </c>
      <c r="H28">
        <f t="shared" si="1"/>
        <v>-2.5856253073250169E-2</v>
      </c>
      <c r="I28" s="3">
        <v>7.2430000000000003</v>
      </c>
      <c r="J28" t="s">
        <v>681</v>
      </c>
      <c r="K28">
        <v>25</v>
      </c>
    </row>
    <row r="29" spans="1:11" x14ac:dyDescent="0.2">
      <c r="A29">
        <v>25</v>
      </c>
      <c r="C29">
        <v>7089.1617999999999</v>
      </c>
      <c r="D29">
        <v>28097.487099999998</v>
      </c>
      <c r="E29">
        <v>0</v>
      </c>
      <c r="F29">
        <v>23.9</v>
      </c>
      <c r="G29">
        <f t="shared" si="2"/>
        <v>286.79999999999995</v>
      </c>
      <c r="H29">
        <f t="shared" si="1"/>
        <v>-7.4077878414076301E-3</v>
      </c>
      <c r="I29" s="3">
        <v>7.1559999999999997</v>
      </c>
      <c r="J29" t="s">
        <v>681</v>
      </c>
      <c r="K29">
        <v>25</v>
      </c>
    </row>
    <row r="30" spans="1:11" x14ac:dyDescent="0.2">
      <c r="A30">
        <v>26</v>
      </c>
      <c r="C30">
        <v>7077.9198999999999</v>
      </c>
      <c r="D30">
        <v>29615.037899999999</v>
      </c>
      <c r="E30">
        <v>0</v>
      </c>
      <c r="F30">
        <v>23.4</v>
      </c>
      <c r="G30">
        <f t="shared" si="2"/>
        <v>280.79999999999995</v>
      </c>
      <c r="H30">
        <f t="shared" si="1"/>
        <v>-1.9927877426223878E-3</v>
      </c>
      <c r="I30" s="3">
        <v>7.0449999999999999</v>
      </c>
      <c r="J30" t="s">
        <v>683</v>
      </c>
      <c r="K30">
        <v>25</v>
      </c>
    </row>
    <row r="31" spans="1:11" x14ac:dyDescent="0.2">
      <c r="A31">
        <v>27</v>
      </c>
      <c r="C31">
        <v>7075.7464</v>
      </c>
      <c r="D31">
        <v>30705.7196</v>
      </c>
      <c r="E31">
        <v>0</v>
      </c>
      <c r="F31">
        <v>23</v>
      </c>
      <c r="G31">
        <f t="shared" si="2"/>
        <v>276</v>
      </c>
      <c r="H31">
        <f t="shared" si="1"/>
        <v>-1.3361316526824859E-3</v>
      </c>
      <c r="I31" s="3">
        <v>7.0019999999999998</v>
      </c>
      <c r="J31" t="s">
        <v>683</v>
      </c>
      <c r="K31">
        <v>25</v>
      </c>
    </row>
    <row r="32" spans="1:11" x14ac:dyDescent="0.2">
      <c r="A32">
        <v>28</v>
      </c>
      <c r="C32">
        <v>7074.2871999999998</v>
      </c>
      <c r="D32">
        <v>31797.8269</v>
      </c>
      <c r="E32">
        <v>0</v>
      </c>
      <c r="F32">
        <v>22.6</v>
      </c>
      <c r="G32">
        <f t="shared" si="2"/>
        <v>271.20000000000005</v>
      </c>
      <c r="H32">
        <f t="shared" si="1"/>
        <v>-8.5407226762788339E-4</v>
      </c>
      <c r="I32" s="3">
        <v>7</v>
      </c>
      <c r="J32" t="s">
        <v>684</v>
      </c>
      <c r="K32">
        <v>25</v>
      </c>
    </row>
    <row r="33" spans="1:11" x14ac:dyDescent="0.2">
      <c r="A33">
        <v>29</v>
      </c>
      <c r="C33">
        <v>7073.3473999999997</v>
      </c>
      <c r="D33">
        <v>32898.2019</v>
      </c>
      <c r="E33">
        <v>0</v>
      </c>
      <c r="F33">
        <v>22.3</v>
      </c>
      <c r="G33">
        <f t="shared" si="2"/>
        <v>267.60000000000002</v>
      </c>
      <c r="H33">
        <f t="shared" si="1"/>
        <v>-7.8312493560982318E-4</v>
      </c>
      <c r="I33" s="3">
        <v>7</v>
      </c>
      <c r="J33" t="s">
        <v>684</v>
      </c>
      <c r="K33">
        <v>25</v>
      </c>
    </row>
    <row r="34" spans="1:11" x14ac:dyDescent="0.2">
      <c r="A34">
        <v>30</v>
      </c>
      <c r="C34">
        <v>7072.2825999999995</v>
      </c>
      <c r="D34">
        <v>34257.8825</v>
      </c>
      <c r="E34">
        <v>0</v>
      </c>
      <c r="F34">
        <v>22.8</v>
      </c>
      <c r="G34">
        <f t="shared" si="2"/>
        <v>273.60000000000002</v>
      </c>
      <c r="H34">
        <f t="shared" si="1"/>
        <v>-9.8161558601879179E-4</v>
      </c>
      <c r="I34" s="3">
        <v>7</v>
      </c>
      <c r="J34" t="s">
        <v>684</v>
      </c>
      <c r="K34">
        <v>25</v>
      </c>
    </row>
    <row r="35" spans="1:11" x14ac:dyDescent="0.2">
      <c r="A35">
        <v>31</v>
      </c>
      <c r="C35">
        <v>7071.4062999999996</v>
      </c>
      <c r="D35">
        <v>35150.5942</v>
      </c>
      <c r="E35">
        <v>0</v>
      </c>
      <c r="F35">
        <v>22.5</v>
      </c>
      <c r="G35">
        <f t="shared" si="2"/>
        <v>270</v>
      </c>
      <c r="H35">
        <f t="shared" si="1"/>
        <v>-1.0750019688667682E-3</v>
      </c>
      <c r="I35" s="3">
        <v>7</v>
      </c>
      <c r="J35" t="s">
        <v>684</v>
      </c>
      <c r="K35">
        <v>25</v>
      </c>
    </row>
    <row r="36" spans="1:11" x14ac:dyDescent="0.2">
      <c r="A36">
        <v>32</v>
      </c>
      <c r="C36">
        <v>7070.4488000000001</v>
      </c>
      <c r="D36">
        <v>36041.289900000003</v>
      </c>
      <c r="E36">
        <v>0</v>
      </c>
      <c r="F36">
        <v>22.2</v>
      </c>
      <c r="G36">
        <f t="shared" si="2"/>
        <v>266.39999999999998</v>
      </c>
      <c r="H36">
        <f t="shared" ref="H36:H69" si="3">ATAN((C37-C36)/(D37-D36))</f>
        <v>-1.0787229429624443E-3</v>
      </c>
      <c r="I36" s="3">
        <v>7</v>
      </c>
      <c r="J36" t="s">
        <v>684</v>
      </c>
      <c r="K36">
        <v>25</v>
      </c>
    </row>
    <row r="37" spans="1:11" x14ac:dyDescent="0.2">
      <c r="A37">
        <v>33</v>
      </c>
      <c r="C37">
        <v>7069.3675000000003</v>
      </c>
      <c r="D37">
        <v>37043.678500000002</v>
      </c>
      <c r="E37">
        <v>0</v>
      </c>
      <c r="F37">
        <v>22.9</v>
      </c>
      <c r="G37">
        <f t="shared" si="2"/>
        <v>274.79999999999995</v>
      </c>
      <c r="H37">
        <f t="shared" si="3"/>
        <v>-9.5405874607983629E-4</v>
      </c>
      <c r="I37" s="3">
        <v>7</v>
      </c>
      <c r="J37" t="s">
        <v>684</v>
      </c>
      <c r="K37">
        <v>25</v>
      </c>
    </row>
    <row r="38" spans="1:11" x14ac:dyDescent="0.2">
      <c r="A38">
        <v>34</v>
      </c>
      <c r="C38">
        <v>7068.1661999999997</v>
      </c>
      <c r="D38">
        <v>38302.8249</v>
      </c>
      <c r="E38">
        <v>0</v>
      </c>
      <c r="F38">
        <v>22.4</v>
      </c>
      <c r="G38">
        <f t="shared" si="2"/>
        <v>268.79999999999995</v>
      </c>
      <c r="H38">
        <f t="shared" si="3"/>
        <v>-7.1957050678172769E-4</v>
      </c>
      <c r="I38" s="3">
        <v>7</v>
      </c>
      <c r="J38" t="s">
        <v>684</v>
      </c>
      <c r="K38">
        <v>25</v>
      </c>
    </row>
    <row r="39" spans="1:11" x14ac:dyDescent="0.2">
      <c r="A39">
        <v>35</v>
      </c>
      <c r="C39">
        <v>7067.5573999999997</v>
      </c>
      <c r="D39">
        <v>39148.885000000002</v>
      </c>
      <c r="E39">
        <v>0</v>
      </c>
      <c r="F39">
        <v>23.1</v>
      </c>
      <c r="G39">
        <f t="shared" si="2"/>
        <v>277.20000000000005</v>
      </c>
      <c r="H39">
        <f t="shared" si="3"/>
        <v>-4.4025433498862538E-4</v>
      </c>
      <c r="I39" s="3">
        <v>7</v>
      </c>
      <c r="J39" t="s">
        <v>684</v>
      </c>
      <c r="K39">
        <v>25</v>
      </c>
    </row>
    <row r="40" spans="1:11" x14ac:dyDescent="0.2">
      <c r="A40">
        <v>36</v>
      </c>
      <c r="C40">
        <v>7067.1833999999999</v>
      </c>
      <c r="D40">
        <v>39998.393900000003</v>
      </c>
      <c r="E40">
        <v>0</v>
      </c>
      <c r="F40">
        <v>22.9</v>
      </c>
      <c r="G40">
        <f t="shared" si="2"/>
        <v>274.79999999999995</v>
      </c>
      <c r="H40">
        <f t="shared" si="3"/>
        <v>-8.720047118155973E-5</v>
      </c>
      <c r="I40" s="3">
        <v>7</v>
      </c>
      <c r="J40" t="s">
        <v>684</v>
      </c>
      <c r="K40">
        <v>25</v>
      </c>
    </row>
    <row r="41" spans="1:11" x14ac:dyDescent="0.2">
      <c r="A41">
        <v>37</v>
      </c>
      <c r="C41">
        <v>7067.1095999999998</v>
      </c>
      <c r="D41">
        <v>40844.719599999997</v>
      </c>
      <c r="E41">
        <v>0</v>
      </c>
      <c r="F41">
        <v>23.7</v>
      </c>
      <c r="G41">
        <f t="shared" si="2"/>
        <v>284.39999999999998</v>
      </c>
      <c r="H41">
        <f t="shared" si="3"/>
        <v>3.7701717819979541E-4</v>
      </c>
      <c r="I41" s="3">
        <v>7</v>
      </c>
      <c r="J41" t="s">
        <v>684</v>
      </c>
      <c r="K41">
        <v>25</v>
      </c>
    </row>
    <row r="42" spans="1:11" x14ac:dyDescent="0.2">
      <c r="A42">
        <v>38</v>
      </c>
      <c r="C42">
        <v>7067.6234999999997</v>
      </c>
      <c r="D42">
        <v>42207.787400000001</v>
      </c>
      <c r="E42">
        <v>0</v>
      </c>
      <c r="F42">
        <v>23.6</v>
      </c>
      <c r="G42">
        <f t="shared" si="2"/>
        <v>283.20000000000005</v>
      </c>
      <c r="H42">
        <f t="shared" si="3"/>
        <v>7.8120005494931866E-4</v>
      </c>
      <c r="I42" s="3">
        <v>7</v>
      </c>
      <c r="J42" t="s">
        <v>684</v>
      </c>
      <c r="K42">
        <v>25</v>
      </c>
    </row>
    <row r="43" spans="1:11" x14ac:dyDescent="0.2">
      <c r="A43">
        <v>39</v>
      </c>
      <c r="C43">
        <v>7068.2584999999999</v>
      </c>
      <c r="D43">
        <v>43020.639199999998</v>
      </c>
      <c r="E43">
        <v>0</v>
      </c>
      <c r="F43">
        <v>23.8</v>
      </c>
      <c r="G43">
        <f t="shared" si="2"/>
        <v>285.60000000000002</v>
      </c>
      <c r="H43">
        <f t="shared" si="3"/>
        <v>1.0419139404477932E-3</v>
      </c>
      <c r="I43" s="3">
        <v>7</v>
      </c>
      <c r="J43" t="s">
        <v>684</v>
      </c>
      <c r="K43">
        <v>25</v>
      </c>
    </row>
    <row r="44" spans="1:11" x14ac:dyDescent="0.2">
      <c r="A44">
        <v>40</v>
      </c>
      <c r="C44">
        <v>7069.0995000000003</v>
      </c>
      <c r="D44">
        <v>43827.8073</v>
      </c>
      <c r="E44">
        <v>0</v>
      </c>
      <c r="F44">
        <v>23</v>
      </c>
      <c r="G44">
        <f t="shared" si="2"/>
        <v>276</v>
      </c>
      <c r="H44">
        <f t="shared" si="3"/>
        <v>1.2702959795903327E-3</v>
      </c>
      <c r="I44" s="3">
        <v>7</v>
      </c>
      <c r="J44" t="s">
        <v>684</v>
      </c>
      <c r="K44">
        <v>25</v>
      </c>
    </row>
    <row r="45" spans="1:11" x14ac:dyDescent="0.2">
      <c r="A45">
        <v>41</v>
      </c>
      <c r="C45">
        <v>7070.1307999999999</v>
      </c>
      <c r="D45">
        <v>44639.664900000003</v>
      </c>
      <c r="E45">
        <v>0</v>
      </c>
      <c r="F45">
        <v>23.4</v>
      </c>
      <c r="G45">
        <f t="shared" si="2"/>
        <v>280.79999999999995</v>
      </c>
      <c r="H45">
        <f t="shared" si="3"/>
        <v>1.5230012537243499E-3</v>
      </c>
      <c r="I45" s="3">
        <v>7</v>
      </c>
      <c r="J45" t="s">
        <v>684</v>
      </c>
      <c r="K45">
        <v>25</v>
      </c>
    </row>
    <row r="46" spans="1:11" x14ac:dyDescent="0.2">
      <c r="A46">
        <v>42</v>
      </c>
      <c r="C46">
        <v>7072.2025000000003</v>
      </c>
      <c r="D46">
        <v>45999.938499999997</v>
      </c>
      <c r="E46">
        <v>0</v>
      </c>
      <c r="F46">
        <v>23.4</v>
      </c>
      <c r="G46">
        <f t="shared" si="2"/>
        <v>280.79999999999995</v>
      </c>
      <c r="H46">
        <f t="shared" si="3"/>
        <v>1.7236425502134005E-3</v>
      </c>
      <c r="I46" s="3">
        <v>7</v>
      </c>
      <c r="J46" t="s">
        <v>684</v>
      </c>
      <c r="K46">
        <v>25</v>
      </c>
    </row>
    <row r="47" spans="1:11" x14ac:dyDescent="0.2">
      <c r="A47">
        <v>43</v>
      </c>
      <c r="C47">
        <v>7073.634</v>
      </c>
      <c r="D47">
        <v>46830.446300000003</v>
      </c>
      <c r="E47">
        <v>0</v>
      </c>
      <c r="F47">
        <v>23</v>
      </c>
      <c r="G47">
        <f t="shared" si="2"/>
        <v>276</v>
      </c>
      <c r="H47">
        <f t="shared" si="3"/>
        <v>1.8344384553209017E-3</v>
      </c>
      <c r="I47" s="3">
        <v>7</v>
      </c>
      <c r="J47" t="s">
        <v>684</v>
      </c>
      <c r="K47">
        <v>25</v>
      </c>
    </row>
    <row r="48" spans="1:11" x14ac:dyDescent="0.2">
      <c r="A48">
        <v>44</v>
      </c>
      <c r="C48">
        <v>7075.1619000000001</v>
      </c>
      <c r="D48">
        <v>47663.3433</v>
      </c>
      <c r="E48">
        <v>0</v>
      </c>
      <c r="F48">
        <v>22.7</v>
      </c>
      <c r="G48">
        <f t="shared" si="2"/>
        <v>272.39999999999998</v>
      </c>
      <c r="H48">
        <f t="shared" si="3"/>
        <v>1.9108360102470024E-3</v>
      </c>
      <c r="I48" s="3">
        <v>7</v>
      </c>
      <c r="J48" t="s">
        <v>684</v>
      </c>
      <c r="K48">
        <v>25</v>
      </c>
    </row>
    <row r="49" spans="1:11" x14ac:dyDescent="0.2">
      <c r="A49">
        <v>45</v>
      </c>
      <c r="C49">
        <v>7076.7437</v>
      </c>
      <c r="D49">
        <v>48491.147499999999</v>
      </c>
      <c r="E49">
        <v>0</v>
      </c>
      <c r="F49">
        <v>23.3</v>
      </c>
      <c r="G49">
        <f t="shared" si="2"/>
        <v>279.60000000000002</v>
      </c>
      <c r="H49">
        <f t="shared" si="3"/>
        <v>1.9570222804732029E-3</v>
      </c>
      <c r="I49" s="3">
        <v>7</v>
      </c>
      <c r="J49" t="s">
        <v>684</v>
      </c>
      <c r="K49">
        <v>25</v>
      </c>
    </row>
    <row r="50" spans="1:11" x14ac:dyDescent="0.2">
      <c r="A50">
        <v>46</v>
      </c>
      <c r="C50">
        <v>7079.4229999999998</v>
      </c>
      <c r="D50">
        <v>49860.215499999998</v>
      </c>
      <c r="E50">
        <v>0</v>
      </c>
      <c r="F50">
        <v>24.4</v>
      </c>
      <c r="G50">
        <f t="shared" si="2"/>
        <v>292.79999999999995</v>
      </c>
      <c r="H50">
        <f t="shared" si="3"/>
        <v>1.9417746192493879E-3</v>
      </c>
      <c r="I50" s="3">
        <v>7</v>
      </c>
      <c r="J50" t="s">
        <v>684</v>
      </c>
      <c r="K50">
        <v>25</v>
      </c>
    </row>
    <row r="51" spans="1:11" x14ac:dyDescent="0.2">
      <c r="A51">
        <v>47</v>
      </c>
      <c r="C51">
        <v>7081.5583999999999</v>
      </c>
      <c r="D51">
        <v>50959.929799999998</v>
      </c>
      <c r="E51">
        <v>0</v>
      </c>
      <c r="F51">
        <v>24.3</v>
      </c>
      <c r="G51">
        <f t="shared" si="2"/>
        <v>291.60000000000002</v>
      </c>
      <c r="H51">
        <f t="shared" si="3"/>
        <v>1.8639080265376135E-3</v>
      </c>
      <c r="I51" s="3">
        <v>7</v>
      </c>
      <c r="J51" t="s">
        <v>684</v>
      </c>
      <c r="K51">
        <v>25</v>
      </c>
    </row>
    <row r="52" spans="1:11" x14ac:dyDescent="0.2">
      <c r="A52">
        <v>48</v>
      </c>
      <c r="C52">
        <v>7083.5851000000002</v>
      </c>
      <c r="D52">
        <v>52047.267599999999</v>
      </c>
      <c r="E52">
        <v>0</v>
      </c>
      <c r="F52">
        <v>24.2</v>
      </c>
      <c r="G52">
        <f t="shared" si="2"/>
        <v>290.39999999999998</v>
      </c>
      <c r="H52">
        <f t="shared" si="3"/>
        <v>1.7268517285552326E-3</v>
      </c>
      <c r="I52" s="3">
        <v>7</v>
      </c>
      <c r="J52" t="s">
        <v>684</v>
      </c>
      <c r="K52">
        <v>25</v>
      </c>
    </row>
    <row r="53" spans="1:11" x14ac:dyDescent="0.2">
      <c r="A53">
        <v>49</v>
      </c>
      <c r="C53">
        <v>7085.4818999999998</v>
      </c>
      <c r="D53">
        <v>53145.681600000004</v>
      </c>
      <c r="E53">
        <v>0</v>
      </c>
      <c r="F53">
        <v>24</v>
      </c>
      <c r="G53">
        <f t="shared" si="2"/>
        <v>288</v>
      </c>
      <c r="H53">
        <f t="shared" si="3"/>
        <v>1.4632807730218923E-3</v>
      </c>
      <c r="I53" s="3">
        <v>7</v>
      </c>
      <c r="J53" t="s">
        <v>684</v>
      </c>
      <c r="K53">
        <v>25</v>
      </c>
    </row>
    <row r="54" spans="1:11" x14ac:dyDescent="0.2">
      <c r="A54">
        <v>50</v>
      </c>
      <c r="C54">
        <v>7087.4763000000003</v>
      </c>
      <c r="D54">
        <v>54508.645299999996</v>
      </c>
      <c r="E54">
        <v>0</v>
      </c>
      <c r="F54">
        <v>24.1</v>
      </c>
      <c r="G54">
        <f t="shared" si="2"/>
        <v>289.20000000000005</v>
      </c>
      <c r="H54">
        <f t="shared" si="3"/>
        <v>1.0673832214292309E-3</v>
      </c>
      <c r="I54" s="3">
        <v>7</v>
      </c>
      <c r="J54" t="s">
        <v>684</v>
      </c>
      <c r="K54">
        <v>25</v>
      </c>
    </row>
    <row r="55" spans="1:11" x14ac:dyDescent="0.2">
      <c r="A55">
        <v>51</v>
      </c>
      <c r="C55">
        <v>7088.4461000000001</v>
      </c>
      <c r="D55">
        <v>55417.222099999999</v>
      </c>
      <c r="E55">
        <v>0</v>
      </c>
      <c r="F55">
        <v>24.8</v>
      </c>
      <c r="G55">
        <f t="shared" si="2"/>
        <v>297.60000000000002</v>
      </c>
      <c r="H55">
        <f t="shared" si="3"/>
        <v>6.2760982510986325E-4</v>
      </c>
      <c r="I55" s="3">
        <v>7</v>
      </c>
      <c r="J55" t="s">
        <v>684</v>
      </c>
      <c r="K55">
        <v>25</v>
      </c>
    </row>
    <row r="56" spans="1:11" x14ac:dyDescent="0.2">
      <c r="A56">
        <v>52</v>
      </c>
      <c r="C56">
        <v>7089.0217000000002</v>
      </c>
      <c r="D56">
        <v>56334.352299999999</v>
      </c>
      <c r="E56">
        <v>0</v>
      </c>
      <c r="F56">
        <v>24.5</v>
      </c>
      <c r="G56">
        <f t="shared" si="2"/>
        <v>294</v>
      </c>
      <c r="H56">
        <f t="shared" si="3"/>
        <v>8.2564811544347637E-5</v>
      </c>
      <c r="I56" s="3">
        <v>7</v>
      </c>
      <c r="J56" t="s">
        <v>684</v>
      </c>
      <c r="K56">
        <v>25</v>
      </c>
    </row>
    <row r="57" spans="1:11" x14ac:dyDescent="0.2">
      <c r="A57">
        <v>53</v>
      </c>
      <c r="C57">
        <v>7089.0969999999998</v>
      </c>
      <c r="D57">
        <v>57246.363100000002</v>
      </c>
      <c r="E57">
        <v>0</v>
      </c>
      <c r="F57">
        <v>25.3</v>
      </c>
      <c r="G57">
        <f t="shared" si="2"/>
        <v>303.60000000000002</v>
      </c>
      <c r="H57">
        <f t="shared" si="3"/>
        <v>-5.6319591103173394E-4</v>
      </c>
      <c r="I57" s="3">
        <v>7</v>
      </c>
      <c r="J57" t="s">
        <v>684</v>
      </c>
      <c r="K57">
        <v>25</v>
      </c>
    </row>
    <row r="58" spans="1:11" x14ac:dyDescent="0.2">
      <c r="A58">
        <v>54</v>
      </c>
      <c r="C58">
        <v>7088.5864000000001</v>
      </c>
      <c r="D58">
        <v>58152.974699999999</v>
      </c>
      <c r="E58">
        <v>0</v>
      </c>
      <c r="F58">
        <v>26</v>
      </c>
      <c r="G58">
        <f t="shared" si="2"/>
        <v>312</v>
      </c>
      <c r="H58">
        <f t="shared" si="3"/>
        <v>-1.5221761201477245E-3</v>
      </c>
      <c r="I58" s="3">
        <v>7</v>
      </c>
      <c r="J58" t="s">
        <v>684</v>
      </c>
      <c r="K58">
        <v>25</v>
      </c>
    </row>
    <row r="59" spans="1:11" x14ac:dyDescent="0.2">
      <c r="A59">
        <v>55</v>
      </c>
      <c r="C59">
        <v>7086.5002000000004</v>
      </c>
      <c r="D59">
        <v>59523.511500000001</v>
      </c>
      <c r="E59">
        <v>0</v>
      </c>
      <c r="F59">
        <v>27</v>
      </c>
      <c r="G59">
        <f t="shared" si="2"/>
        <v>324</v>
      </c>
      <c r="H59">
        <f t="shared" si="3"/>
        <v>-2.3839443560969764E-3</v>
      </c>
      <c r="I59" s="3">
        <v>7</v>
      </c>
      <c r="J59" t="s">
        <v>684</v>
      </c>
      <c r="K59">
        <v>25</v>
      </c>
    </row>
    <row r="60" spans="1:11" x14ac:dyDescent="0.2">
      <c r="A60">
        <v>56</v>
      </c>
      <c r="C60">
        <v>7084.3401999999996</v>
      </c>
      <c r="D60">
        <v>60429.571199999998</v>
      </c>
      <c r="E60">
        <v>0</v>
      </c>
      <c r="F60">
        <v>28.3</v>
      </c>
      <c r="G60">
        <f t="shared" si="2"/>
        <v>339.6</v>
      </c>
      <c r="H60">
        <f t="shared" si="3"/>
        <v>-2.3891979612710467E-3</v>
      </c>
      <c r="I60" s="3">
        <v>7</v>
      </c>
      <c r="J60" t="s">
        <v>684</v>
      </c>
      <c r="K60">
        <v>25</v>
      </c>
    </row>
    <row r="61" spans="1:11" x14ac:dyDescent="0.2">
      <c r="A61">
        <v>57</v>
      </c>
      <c r="C61">
        <v>7082.1512000000002</v>
      </c>
      <c r="D61">
        <v>61345.7765</v>
      </c>
      <c r="E61">
        <v>0</v>
      </c>
      <c r="F61">
        <v>29.4</v>
      </c>
      <c r="G61">
        <f t="shared" si="2"/>
        <v>352.79999999999995</v>
      </c>
      <c r="H61">
        <f t="shared" si="3"/>
        <v>-1.6771985260137018E-3</v>
      </c>
      <c r="I61" s="3">
        <v>7</v>
      </c>
      <c r="J61" t="s">
        <v>684</v>
      </c>
      <c r="K61">
        <v>25</v>
      </c>
    </row>
    <row r="62" spans="1:11" x14ac:dyDescent="0.2">
      <c r="A62">
        <v>58</v>
      </c>
      <c r="C62">
        <v>7080.6212999999998</v>
      </c>
      <c r="D62">
        <v>62257.951500000003</v>
      </c>
      <c r="E62">
        <v>0</v>
      </c>
      <c r="F62">
        <v>30.2</v>
      </c>
      <c r="G62">
        <f t="shared" si="2"/>
        <v>362.4</v>
      </c>
      <c r="H62">
        <f t="shared" si="3"/>
        <v>-2.6349607278380513E-4</v>
      </c>
      <c r="I62" s="3">
        <v>7</v>
      </c>
      <c r="J62" t="s">
        <v>684</v>
      </c>
      <c r="K62">
        <v>25</v>
      </c>
    </row>
    <row r="63" spans="1:11" x14ac:dyDescent="0.2">
      <c r="A63">
        <v>59</v>
      </c>
      <c r="C63">
        <v>7080.3845000000001</v>
      </c>
      <c r="D63">
        <v>63156.636599999998</v>
      </c>
      <c r="E63">
        <v>0</v>
      </c>
      <c r="F63">
        <v>30.6</v>
      </c>
      <c r="G63">
        <f t="shared" si="2"/>
        <v>367.20000000000005</v>
      </c>
      <c r="H63">
        <f t="shared" si="3"/>
        <v>2.5513123725953066E-3</v>
      </c>
      <c r="I63" s="3">
        <v>7</v>
      </c>
      <c r="J63" t="s">
        <v>684</v>
      </c>
      <c r="K63">
        <v>25</v>
      </c>
    </row>
    <row r="64" spans="1:11" x14ac:dyDescent="0.2">
      <c r="A64">
        <v>60</v>
      </c>
      <c r="C64">
        <v>7083.8936000000003</v>
      </c>
      <c r="D64">
        <v>64532.043400000002</v>
      </c>
      <c r="E64">
        <v>0</v>
      </c>
      <c r="F64">
        <v>29.2</v>
      </c>
      <c r="G64">
        <f t="shared" si="2"/>
        <v>350.4</v>
      </c>
      <c r="H64">
        <f t="shared" si="3"/>
        <v>6.2809173382676964E-3</v>
      </c>
      <c r="I64" s="3">
        <v>6.9980000000000002</v>
      </c>
      <c r="J64" t="s">
        <v>684</v>
      </c>
      <c r="K64">
        <v>25</v>
      </c>
    </row>
    <row r="65" spans="1:11" x14ac:dyDescent="0.2">
      <c r="A65">
        <v>61</v>
      </c>
      <c r="C65">
        <v>7089.1617999999999</v>
      </c>
      <c r="D65">
        <v>65370.7952</v>
      </c>
      <c r="E65">
        <v>0</v>
      </c>
      <c r="F65">
        <v>28.1</v>
      </c>
      <c r="G65">
        <f t="shared" si="2"/>
        <v>337.20000000000005</v>
      </c>
      <c r="H65">
        <f t="shared" si="3"/>
        <v>9.8270688293810703E-3</v>
      </c>
      <c r="I65" s="3">
        <v>7.0229999999999997</v>
      </c>
      <c r="J65" t="s">
        <v>683</v>
      </c>
      <c r="K65">
        <v>25</v>
      </c>
    </row>
    <row r="66" spans="1:11" x14ac:dyDescent="0.2">
      <c r="A66">
        <v>62</v>
      </c>
      <c r="C66">
        <v>7097.3450999999995</v>
      </c>
      <c r="D66">
        <v>66203.498900000006</v>
      </c>
      <c r="E66">
        <v>0</v>
      </c>
      <c r="F66">
        <v>26.6</v>
      </c>
      <c r="G66">
        <f t="shared" si="2"/>
        <v>319.20000000000005</v>
      </c>
      <c r="H66">
        <f t="shared" si="3"/>
        <v>1.3572817456930248E-2</v>
      </c>
      <c r="I66" s="3">
        <v>7.07</v>
      </c>
      <c r="J66" t="s">
        <v>683</v>
      </c>
      <c r="K66">
        <v>25</v>
      </c>
    </row>
    <row r="67" spans="1:11" x14ac:dyDescent="0.2">
      <c r="A67">
        <v>63</v>
      </c>
      <c r="C67">
        <v>7106.7071999999998</v>
      </c>
      <c r="D67">
        <v>66893.224900000001</v>
      </c>
      <c r="E67">
        <v>0</v>
      </c>
      <c r="F67">
        <v>26.6</v>
      </c>
      <c r="G67">
        <f t="shared" si="2"/>
        <v>319.20000000000005</v>
      </c>
      <c r="H67">
        <f t="shared" si="3"/>
        <v>1.9947822997846098E-2</v>
      </c>
      <c r="I67" s="3">
        <v>7</v>
      </c>
      <c r="J67" t="s">
        <v>683</v>
      </c>
      <c r="K67">
        <v>25</v>
      </c>
    </row>
    <row r="68" spans="1:11" x14ac:dyDescent="0.2">
      <c r="A68">
        <v>64</v>
      </c>
      <c r="C68">
        <v>7136.8689000000004</v>
      </c>
      <c r="D68">
        <v>68405.054000000004</v>
      </c>
      <c r="E68">
        <v>0</v>
      </c>
      <c r="F68">
        <v>26.6</v>
      </c>
      <c r="G68">
        <f t="shared" si="2"/>
        <v>319.20000000000005</v>
      </c>
      <c r="H68">
        <f t="shared" si="3"/>
        <v>2.9874398555495011E-2</v>
      </c>
      <c r="I68" s="3">
        <v>7</v>
      </c>
      <c r="J68" t="s">
        <v>683</v>
      </c>
      <c r="K68">
        <v>25</v>
      </c>
    </row>
    <row r="69" spans="1:11" x14ac:dyDescent="0.2">
      <c r="A69">
        <v>65</v>
      </c>
      <c r="C69">
        <v>7164.1526000000003</v>
      </c>
      <c r="D69">
        <v>69318.062600000005</v>
      </c>
      <c r="E69">
        <v>0</v>
      </c>
      <c r="G69">
        <f t="shared" ref="G69:G70" si="4">+F69*12</f>
        <v>0</v>
      </c>
      <c r="H69">
        <f t="shared" si="3"/>
        <v>4.6348538449217977E-2</v>
      </c>
      <c r="I69" s="3">
        <v>7</v>
      </c>
      <c r="J69" t="s">
        <v>683</v>
      </c>
      <c r="K69">
        <v>25</v>
      </c>
    </row>
    <row r="70" spans="1:11" x14ac:dyDescent="0.2">
      <c r="A70">
        <v>66</v>
      </c>
      <c r="C70">
        <v>7206.3050999999996</v>
      </c>
      <c r="D70">
        <v>70226.879000000001</v>
      </c>
      <c r="E70">
        <v>0</v>
      </c>
      <c r="G70">
        <f t="shared" si="4"/>
        <v>0</v>
      </c>
      <c r="H70">
        <f>H69</f>
        <v>4.6348538449217977E-2</v>
      </c>
      <c r="I70" s="3">
        <v>7</v>
      </c>
      <c r="J70" t="s">
        <v>683</v>
      </c>
      <c r="K70">
        <v>25</v>
      </c>
    </row>
  </sheetData>
  <autoFilter ref="A1:H1" xr:uid="{B1844E4C-8393-44AD-8706-20B4E356B02D}">
    <sortState xmlns:xlrd2="http://schemas.microsoft.com/office/spreadsheetml/2017/richdata2" ref="A2:H70">
      <sortCondition ref="D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6B2D-6AF1-45B3-83E7-6EB8022F44A7}">
  <dimension ref="A1:E326"/>
  <sheetViews>
    <sheetView topLeftCell="A256" zoomScaleNormal="100" workbookViewId="0">
      <selection activeCell="G6" sqref="G6"/>
    </sheetView>
  </sheetViews>
  <sheetFormatPr baseColWidth="10" defaultColWidth="8.83203125" defaultRowHeight="15" x14ac:dyDescent="0.2"/>
  <cols>
    <col min="1" max="1" width="9.1640625" style="1"/>
  </cols>
  <sheetData>
    <row r="1" spans="1:5" x14ac:dyDescent="0.2">
      <c r="A1" s="1" t="s">
        <v>4</v>
      </c>
      <c r="B1" t="s">
        <v>73</v>
      </c>
      <c r="C1" t="s">
        <v>74</v>
      </c>
      <c r="D1" t="s">
        <v>75</v>
      </c>
      <c r="E1" t="s">
        <v>76</v>
      </c>
    </row>
    <row r="2" spans="1:5" x14ac:dyDescent="0.2">
      <c r="A2" s="1" t="s">
        <v>7</v>
      </c>
      <c r="B2" s="2">
        <f>+modelInfo!C4</f>
        <v>14982.044900000001</v>
      </c>
      <c r="C2" s="2">
        <f>+modelInfo!D4</f>
        <v>2332.9126999999999</v>
      </c>
      <c r="D2" s="2">
        <v>0</v>
      </c>
      <c r="E2" t="s">
        <v>5</v>
      </c>
    </row>
    <row r="3" spans="1:5" x14ac:dyDescent="0.2">
      <c r="A3" s="1" t="s">
        <v>8</v>
      </c>
      <c r="B3" s="2">
        <f>+modelInfo!C5</f>
        <v>14304.67</v>
      </c>
      <c r="C3" s="2">
        <f>+modelInfo!D5</f>
        <v>4154.5767999999998</v>
      </c>
      <c r="D3" s="2">
        <v>0</v>
      </c>
      <c r="E3" t="s">
        <v>5</v>
      </c>
    </row>
    <row r="4" spans="1:5" x14ac:dyDescent="0.2">
      <c r="A4" s="1" t="s">
        <v>9</v>
      </c>
      <c r="B4" s="2">
        <f>+modelInfo!C6</f>
        <v>13867.809499999999</v>
      </c>
      <c r="C4" s="2">
        <f>+modelInfo!D6</f>
        <v>5164.9093999999996</v>
      </c>
      <c r="D4" s="2">
        <v>0</v>
      </c>
      <c r="E4" t="s">
        <v>5</v>
      </c>
    </row>
    <row r="5" spans="1:5" x14ac:dyDescent="0.2">
      <c r="A5" s="1" t="s">
        <v>10</v>
      </c>
      <c r="B5" s="2">
        <f>+modelInfo!C7</f>
        <v>13397.9809</v>
      </c>
      <c r="C5" s="2">
        <f>+modelInfo!D7</f>
        <v>6174.7349000000004</v>
      </c>
      <c r="D5" s="2">
        <v>0</v>
      </c>
      <c r="E5" t="s">
        <v>5</v>
      </c>
    </row>
    <row r="6" spans="1:5" x14ac:dyDescent="0.2">
      <c r="A6" s="1" t="s">
        <v>11</v>
      </c>
      <c r="B6" s="2">
        <f>+modelInfo!C8</f>
        <v>12914.040800000001</v>
      </c>
      <c r="C6" s="2">
        <f>+modelInfo!D8</f>
        <v>7168.0447000000004</v>
      </c>
      <c r="D6" s="2">
        <v>0</v>
      </c>
      <c r="E6" t="s">
        <v>5</v>
      </c>
    </row>
    <row r="7" spans="1:5" x14ac:dyDescent="0.2">
      <c r="A7" s="1" t="s">
        <v>12</v>
      </c>
      <c r="B7" s="2">
        <f>+modelInfo!C9</f>
        <v>12418.366599999999</v>
      </c>
      <c r="C7" s="2">
        <f>+modelInfo!D9</f>
        <v>8162.5126</v>
      </c>
      <c r="D7" s="2">
        <v>0</v>
      </c>
      <c r="E7" t="s">
        <v>5</v>
      </c>
    </row>
    <row r="8" spans="1:5" x14ac:dyDescent="0.2">
      <c r="A8" s="1" t="s">
        <v>13</v>
      </c>
      <c r="B8" s="2">
        <f>+modelInfo!C10</f>
        <v>11743.536</v>
      </c>
      <c r="C8" s="2">
        <f>+modelInfo!D10</f>
        <v>9518.3803000000007</v>
      </c>
      <c r="D8" s="2">
        <v>0</v>
      </c>
      <c r="E8" t="s">
        <v>5</v>
      </c>
    </row>
    <row r="9" spans="1:5" x14ac:dyDescent="0.2">
      <c r="A9" s="1" t="s">
        <v>14</v>
      </c>
      <c r="B9" s="2">
        <f>+modelInfo!C11</f>
        <v>11293.729799999999</v>
      </c>
      <c r="C9" s="2">
        <f>+modelInfo!D11</f>
        <v>10440.243200000001</v>
      </c>
      <c r="D9" s="2">
        <v>0</v>
      </c>
      <c r="E9" t="s">
        <v>5</v>
      </c>
    </row>
    <row r="10" spans="1:5" x14ac:dyDescent="0.2">
      <c r="A10" s="1" t="s">
        <v>15</v>
      </c>
      <c r="B10" s="2">
        <f>+modelInfo!C12</f>
        <v>10848.534600000001</v>
      </c>
      <c r="C10" s="2">
        <f>+modelInfo!D12</f>
        <v>11371.7016</v>
      </c>
      <c r="D10" s="2">
        <v>0</v>
      </c>
      <c r="E10" t="s">
        <v>5</v>
      </c>
    </row>
    <row r="11" spans="1:5" x14ac:dyDescent="0.2">
      <c r="A11" s="1" t="s">
        <v>16</v>
      </c>
      <c r="B11" s="2">
        <f>+modelInfo!C13</f>
        <v>10416.2606</v>
      </c>
      <c r="C11" s="2">
        <f>+modelInfo!D13</f>
        <v>12298.7942</v>
      </c>
      <c r="D11" s="2">
        <v>0</v>
      </c>
      <c r="E11" t="s">
        <v>5</v>
      </c>
    </row>
    <row r="12" spans="1:5" x14ac:dyDescent="0.2">
      <c r="A12" s="1" t="s">
        <v>17</v>
      </c>
      <c r="B12" s="2">
        <f>+modelInfo!C14</f>
        <v>9995.6399000000001</v>
      </c>
      <c r="C12" s="2">
        <f>+modelInfo!D14</f>
        <v>13238.549800000001</v>
      </c>
      <c r="D12" s="2">
        <v>0</v>
      </c>
      <c r="E12" t="s">
        <v>5</v>
      </c>
    </row>
    <row r="13" spans="1:5" x14ac:dyDescent="0.2">
      <c r="A13" s="1" t="s">
        <v>18</v>
      </c>
      <c r="B13" s="2">
        <f>+modelInfo!C15</f>
        <v>9419.8268000000007</v>
      </c>
      <c r="C13" s="2">
        <f>+modelInfo!D15</f>
        <v>14640.3976</v>
      </c>
      <c r="D13" s="2">
        <v>0</v>
      </c>
      <c r="E13" t="s">
        <v>5</v>
      </c>
    </row>
    <row r="14" spans="1:5" x14ac:dyDescent="0.2">
      <c r="A14" s="1" t="s">
        <v>19</v>
      </c>
      <c r="B14" s="2">
        <f>+modelInfo!C16</f>
        <v>9093.6429000000007</v>
      </c>
      <c r="C14" s="2">
        <f>+modelInfo!D16</f>
        <v>15514.191800000001</v>
      </c>
      <c r="D14" s="2">
        <v>0</v>
      </c>
      <c r="E14" t="s">
        <v>5</v>
      </c>
    </row>
    <row r="15" spans="1:5" x14ac:dyDescent="0.2">
      <c r="A15" s="1" t="s">
        <v>20</v>
      </c>
      <c r="B15" s="2">
        <f>+modelInfo!C17</f>
        <v>8786.5195999999996</v>
      </c>
      <c r="C15" s="2">
        <f>+modelInfo!D17</f>
        <v>16390.671300000002</v>
      </c>
      <c r="D15" s="2">
        <v>0</v>
      </c>
      <c r="E15" t="s">
        <v>5</v>
      </c>
    </row>
    <row r="16" spans="1:5" x14ac:dyDescent="0.2">
      <c r="A16" s="1" t="s">
        <v>21</v>
      </c>
      <c r="B16" s="2">
        <f>+modelInfo!C18</f>
        <v>8511.3863999999994</v>
      </c>
      <c r="C16" s="2">
        <f>+modelInfo!D18</f>
        <v>17281.751899999999</v>
      </c>
      <c r="D16" s="2">
        <v>0</v>
      </c>
      <c r="E16" t="s">
        <v>5</v>
      </c>
    </row>
    <row r="17" spans="1:5" x14ac:dyDescent="0.2">
      <c r="A17" s="1" t="s">
        <v>22</v>
      </c>
      <c r="B17" s="2">
        <f>+modelInfo!C19</f>
        <v>8257.7464999999993</v>
      </c>
      <c r="C17" s="2">
        <f>+modelInfo!D19</f>
        <v>18179.9833</v>
      </c>
      <c r="D17" s="2">
        <v>0</v>
      </c>
      <c r="E17" t="s">
        <v>5</v>
      </c>
    </row>
    <row r="18" spans="1:5" x14ac:dyDescent="0.2">
      <c r="A18" s="1" t="s">
        <v>23</v>
      </c>
      <c r="B18" s="2">
        <f>+modelInfo!C20</f>
        <v>7929.6471000000001</v>
      </c>
      <c r="C18" s="2">
        <f>+modelInfo!D20</f>
        <v>19510.650000000001</v>
      </c>
      <c r="D18" s="2">
        <v>0</v>
      </c>
      <c r="E18" t="s">
        <v>5</v>
      </c>
    </row>
    <row r="19" spans="1:5" x14ac:dyDescent="0.2">
      <c r="A19" s="1" t="s">
        <v>24</v>
      </c>
      <c r="B19" s="2">
        <f>+modelInfo!C21</f>
        <v>7743.9377000000004</v>
      </c>
      <c r="C19" s="2">
        <f>+modelInfo!D21</f>
        <v>20422.172299999998</v>
      </c>
      <c r="D19" s="2">
        <v>0</v>
      </c>
      <c r="E19" t="s">
        <v>5</v>
      </c>
    </row>
    <row r="20" spans="1:5" x14ac:dyDescent="0.2">
      <c r="A20" s="1" t="s">
        <v>25</v>
      </c>
      <c r="B20" s="2">
        <f>+modelInfo!C22</f>
        <v>7582.5762999999997</v>
      </c>
      <c r="C20" s="2">
        <f>+modelInfo!D22</f>
        <v>21332.774300000001</v>
      </c>
      <c r="D20" s="2">
        <v>0</v>
      </c>
      <c r="E20" t="s">
        <v>5</v>
      </c>
    </row>
    <row r="21" spans="1:5" x14ac:dyDescent="0.2">
      <c r="A21" s="1" t="s">
        <v>26</v>
      </c>
      <c r="B21" s="2">
        <f>+modelInfo!C23</f>
        <v>7440.7723999999998</v>
      </c>
      <c r="C21" s="2">
        <f>+modelInfo!D23</f>
        <v>22382.569200000002</v>
      </c>
      <c r="D21" s="2">
        <v>0</v>
      </c>
      <c r="E21" t="s">
        <v>5</v>
      </c>
    </row>
    <row r="22" spans="1:5" x14ac:dyDescent="0.2">
      <c r="A22" s="1" t="s">
        <v>27</v>
      </c>
      <c r="B22" s="2">
        <f>+modelInfo!C24</f>
        <v>7355.3967000000002</v>
      </c>
      <c r="C22" s="2">
        <f>+modelInfo!D24</f>
        <v>23160.0831</v>
      </c>
      <c r="D22" s="2">
        <v>0</v>
      </c>
      <c r="E22" t="s">
        <v>5</v>
      </c>
    </row>
    <row r="23" spans="1:5" x14ac:dyDescent="0.2">
      <c r="A23" s="1" t="s">
        <v>28</v>
      </c>
      <c r="B23" s="2">
        <f>+modelInfo!C25</f>
        <v>7229.7803000000004</v>
      </c>
      <c r="C23" s="2">
        <f>+modelInfo!D25</f>
        <v>24528.586500000001</v>
      </c>
      <c r="D23" s="2">
        <v>0</v>
      </c>
      <c r="E23" t="s">
        <v>5</v>
      </c>
    </row>
    <row r="24" spans="1:5" x14ac:dyDescent="0.2">
      <c r="A24" s="1" t="s">
        <v>29</v>
      </c>
      <c r="B24" s="2">
        <f>+modelInfo!C26</f>
        <v>7173.7794999999996</v>
      </c>
      <c r="C24" s="2">
        <f>+modelInfo!D26</f>
        <v>25421.793099999999</v>
      </c>
      <c r="D24" s="2">
        <v>0</v>
      </c>
      <c r="E24" t="s">
        <v>5</v>
      </c>
    </row>
    <row r="25" spans="1:5" x14ac:dyDescent="0.2">
      <c r="A25" s="1" t="s">
        <v>30</v>
      </c>
      <c r="B25" s="2">
        <f>+modelInfo!C27</f>
        <v>7140.9323000000004</v>
      </c>
      <c r="C25" s="2">
        <f>+modelInfo!D27</f>
        <v>26315.517400000001</v>
      </c>
      <c r="D25" s="2">
        <v>0</v>
      </c>
      <c r="E25" t="s">
        <v>5</v>
      </c>
    </row>
    <row r="26" spans="1:5" x14ac:dyDescent="0.2">
      <c r="A26" s="1" t="s">
        <v>31</v>
      </c>
      <c r="B26" s="2">
        <f>+modelInfo!C28</f>
        <v>7112.1720999999998</v>
      </c>
      <c r="C26" s="2">
        <f>+modelInfo!D28</f>
        <v>27207.753700000001</v>
      </c>
      <c r="D26" s="2">
        <v>0</v>
      </c>
      <c r="E26" t="s">
        <v>5</v>
      </c>
    </row>
    <row r="27" spans="1:5" x14ac:dyDescent="0.2">
      <c r="A27" s="1" t="s">
        <v>32</v>
      </c>
      <c r="B27" s="2">
        <f>+modelInfo!C29</f>
        <v>7089.1617999999999</v>
      </c>
      <c r="C27" s="2">
        <f>+modelInfo!D29</f>
        <v>28097.487099999998</v>
      </c>
      <c r="D27" s="2">
        <v>0</v>
      </c>
      <c r="E27" t="s">
        <v>5</v>
      </c>
    </row>
    <row r="28" spans="1:5" x14ac:dyDescent="0.2">
      <c r="A28" s="1" t="s">
        <v>33</v>
      </c>
      <c r="B28" s="2">
        <f>+modelInfo!C30</f>
        <v>7077.9198999999999</v>
      </c>
      <c r="C28" s="2">
        <f>+modelInfo!D30</f>
        <v>29615.037899999999</v>
      </c>
      <c r="D28" s="2">
        <v>0</v>
      </c>
      <c r="E28" t="s">
        <v>5</v>
      </c>
    </row>
    <row r="29" spans="1:5" x14ac:dyDescent="0.2">
      <c r="A29" s="1" t="s">
        <v>34</v>
      </c>
      <c r="B29" s="2">
        <f>+modelInfo!C31</f>
        <v>7075.7464</v>
      </c>
      <c r="C29" s="2">
        <f>+modelInfo!D31</f>
        <v>30705.7196</v>
      </c>
      <c r="D29" s="2">
        <v>0</v>
      </c>
      <c r="E29" t="s">
        <v>5</v>
      </c>
    </row>
    <row r="30" spans="1:5" x14ac:dyDescent="0.2">
      <c r="A30" s="1" t="s">
        <v>35</v>
      </c>
      <c r="B30" s="2">
        <f>+modelInfo!C32</f>
        <v>7074.2871999999998</v>
      </c>
      <c r="C30" s="2">
        <f>+modelInfo!D32</f>
        <v>31797.8269</v>
      </c>
      <c r="D30" s="2">
        <v>0</v>
      </c>
      <c r="E30" t="s">
        <v>5</v>
      </c>
    </row>
    <row r="31" spans="1:5" x14ac:dyDescent="0.2">
      <c r="A31" s="1" t="s">
        <v>36</v>
      </c>
      <c r="B31" s="2">
        <f>+modelInfo!C33</f>
        <v>7073.3473999999997</v>
      </c>
      <c r="C31" s="2">
        <f>+modelInfo!D33</f>
        <v>32898.2019</v>
      </c>
      <c r="D31" s="2">
        <v>0</v>
      </c>
      <c r="E31" t="s">
        <v>5</v>
      </c>
    </row>
    <row r="32" spans="1:5" x14ac:dyDescent="0.2">
      <c r="A32" s="1" t="s">
        <v>37</v>
      </c>
      <c r="B32" s="2">
        <f>+modelInfo!C34</f>
        <v>7072.2825999999995</v>
      </c>
      <c r="C32" s="2">
        <f>+modelInfo!D34</f>
        <v>34257.8825</v>
      </c>
      <c r="D32" s="2">
        <v>0</v>
      </c>
      <c r="E32" t="s">
        <v>5</v>
      </c>
    </row>
    <row r="33" spans="1:5" x14ac:dyDescent="0.2">
      <c r="A33" s="1" t="s">
        <v>38</v>
      </c>
      <c r="B33" s="2">
        <f>+modelInfo!C35</f>
        <v>7071.4062999999996</v>
      </c>
      <c r="C33" s="2">
        <f>+modelInfo!D35</f>
        <v>35150.5942</v>
      </c>
      <c r="D33" s="2">
        <v>0</v>
      </c>
      <c r="E33" t="s">
        <v>5</v>
      </c>
    </row>
    <row r="34" spans="1:5" x14ac:dyDescent="0.2">
      <c r="A34" s="1" t="s">
        <v>39</v>
      </c>
      <c r="B34" s="2">
        <f>+modelInfo!C36</f>
        <v>7070.4488000000001</v>
      </c>
      <c r="C34" s="2">
        <f>+modelInfo!D36</f>
        <v>36041.289900000003</v>
      </c>
      <c r="D34" s="2">
        <v>0</v>
      </c>
      <c r="E34" t="s">
        <v>5</v>
      </c>
    </row>
    <row r="35" spans="1:5" x14ac:dyDescent="0.2">
      <c r="A35" s="1" t="s">
        <v>40</v>
      </c>
      <c r="B35" s="2">
        <f>+modelInfo!C37</f>
        <v>7069.3675000000003</v>
      </c>
      <c r="C35" s="2">
        <f>+modelInfo!D37</f>
        <v>37043.678500000002</v>
      </c>
      <c r="D35" s="2">
        <v>0</v>
      </c>
      <c r="E35" t="s">
        <v>5</v>
      </c>
    </row>
    <row r="36" spans="1:5" x14ac:dyDescent="0.2">
      <c r="A36" s="1" t="s">
        <v>41</v>
      </c>
      <c r="B36" s="2">
        <f>+modelInfo!C38</f>
        <v>7068.1661999999997</v>
      </c>
      <c r="C36" s="2">
        <f>+modelInfo!D38</f>
        <v>38302.8249</v>
      </c>
      <c r="D36" s="2">
        <v>0</v>
      </c>
      <c r="E36" t="s">
        <v>5</v>
      </c>
    </row>
    <row r="37" spans="1:5" x14ac:dyDescent="0.2">
      <c r="A37" s="1" t="s">
        <v>42</v>
      </c>
      <c r="B37" s="2">
        <f>+modelInfo!C39</f>
        <v>7067.5573999999997</v>
      </c>
      <c r="C37" s="2">
        <f>+modelInfo!D39</f>
        <v>39148.885000000002</v>
      </c>
      <c r="D37" s="2">
        <v>0</v>
      </c>
      <c r="E37" t="s">
        <v>5</v>
      </c>
    </row>
    <row r="38" spans="1:5" x14ac:dyDescent="0.2">
      <c r="A38" s="1" t="s">
        <v>43</v>
      </c>
      <c r="B38" s="2">
        <f>+modelInfo!C40</f>
        <v>7067.1833999999999</v>
      </c>
      <c r="C38" s="2">
        <f>+modelInfo!D40</f>
        <v>39998.393900000003</v>
      </c>
      <c r="D38" s="2">
        <v>0</v>
      </c>
      <c r="E38" t="s">
        <v>5</v>
      </c>
    </row>
    <row r="39" spans="1:5" x14ac:dyDescent="0.2">
      <c r="A39" s="1" t="s">
        <v>44</v>
      </c>
      <c r="B39" s="2">
        <f>+modelInfo!C41</f>
        <v>7067.1095999999998</v>
      </c>
      <c r="C39" s="2">
        <f>+modelInfo!D41</f>
        <v>40844.719599999997</v>
      </c>
      <c r="D39" s="2">
        <v>0</v>
      </c>
      <c r="E39" t="s">
        <v>5</v>
      </c>
    </row>
    <row r="40" spans="1:5" x14ac:dyDescent="0.2">
      <c r="A40" s="1" t="s">
        <v>45</v>
      </c>
      <c r="B40" s="2">
        <f>+modelInfo!C42</f>
        <v>7067.6234999999997</v>
      </c>
      <c r="C40" s="2">
        <f>+modelInfo!D42</f>
        <v>42207.787400000001</v>
      </c>
      <c r="D40" s="2">
        <v>0</v>
      </c>
      <c r="E40" t="s">
        <v>5</v>
      </c>
    </row>
    <row r="41" spans="1:5" x14ac:dyDescent="0.2">
      <c r="A41" s="1" t="s">
        <v>46</v>
      </c>
      <c r="B41" s="2">
        <f>+modelInfo!C43</f>
        <v>7068.2584999999999</v>
      </c>
      <c r="C41" s="2">
        <f>+modelInfo!D43</f>
        <v>43020.639199999998</v>
      </c>
      <c r="D41" s="2">
        <v>0</v>
      </c>
      <c r="E41" t="s">
        <v>5</v>
      </c>
    </row>
    <row r="42" spans="1:5" x14ac:dyDescent="0.2">
      <c r="A42" s="1" t="s">
        <v>47</v>
      </c>
      <c r="B42" s="2">
        <f>+modelInfo!C44</f>
        <v>7069.0995000000003</v>
      </c>
      <c r="C42" s="2">
        <f>+modelInfo!D44</f>
        <v>43827.8073</v>
      </c>
      <c r="D42" s="2">
        <v>0</v>
      </c>
      <c r="E42" t="s">
        <v>5</v>
      </c>
    </row>
    <row r="43" spans="1:5" x14ac:dyDescent="0.2">
      <c r="A43" s="1" t="s">
        <v>48</v>
      </c>
      <c r="B43" s="2">
        <f>+modelInfo!C45</f>
        <v>7070.1307999999999</v>
      </c>
      <c r="C43" s="2">
        <f>+modelInfo!D45</f>
        <v>44639.664900000003</v>
      </c>
      <c r="D43" s="2">
        <v>0</v>
      </c>
      <c r="E43" t="s">
        <v>5</v>
      </c>
    </row>
    <row r="44" spans="1:5" x14ac:dyDescent="0.2">
      <c r="A44" s="1" t="s">
        <v>49</v>
      </c>
      <c r="B44" s="2">
        <f>+modelInfo!C46</f>
        <v>7072.2025000000003</v>
      </c>
      <c r="C44" s="2">
        <f>+modelInfo!D46</f>
        <v>45999.938499999997</v>
      </c>
      <c r="D44" s="2">
        <v>0</v>
      </c>
      <c r="E44" t="s">
        <v>5</v>
      </c>
    </row>
    <row r="45" spans="1:5" x14ac:dyDescent="0.2">
      <c r="A45" s="1" t="s">
        <v>50</v>
      </c>
      <c r="B45" s="2">
        <f>+modelInfo!C47</f>
        <v>7073.634</v>
      </c>
      <c r="C45" s="2">
        <f>+modelInfo!D47</f>
        <v>46830.446300000003</v>
      </c>
      <c r="D45" s="2">
        <v>0</v>
      </c>
      <c r="E45" t="s">
        <v>5</v>
      </c>
    </row>
    <row r="46" spans="1:5" x14ac:dyDescent="0.2">
      <c r="A46" s="1" t="s">
        <v>51</v>
      </c>
      <c r="B46" s="2">
        <f>+modelInfo!C48</f>
        <v>7075.1619000000001</v>
      </c>
      <c r="C46" s="2">
        <f>+modelInfo!D48</f>
        <v>47663.3433</v>
      </c>
      <c r="D46" s="2">
        <v>0</v>
      </c>
      <c r="E46" t="s">
        <v>5</v>
      </c>
    </row>
    <row r="47" spans="1:5" x14ac:dyDescent="0.2">
      <c r="A47" s="1" t="s">
        <v>52</v>
      </c>
      <c r="B47" s="2">
        <f>+modelInfo!C49</f>
        <v>7076.7437</v>
      </c>
      <c r="C47" s="2">
        <f>+modelInfo!D49</f>
        <v>48491.147499999999</v>
      </c>
      <c r="D47" s="2">
        <v>0</v>
      </c>
      <c r="E47" t="s">
        <v>5</v>
      </c>
    </row>
    <row r="48" spans="1:5" x14ac:dyDescent="0.2">
      <c r="A48" s="1" t="s">
        <v>53</v>
      </c>
      <c r="B48" s="2">
        <f>+modelInfo!C50</f>
        <v>7079.4229999999998</v>
      </c>
      <c r="C48" s="2">
        <f>+modelInfo!D50</f>
        <v>49860.215499999998</v>
      </c>
      <c r="D48" s="2">
        <v>0</v>
      </c>
      <c r="E48" t="s">
        <v>5</v>
      </c>
    </row>
    <row r="49" spans="1:5" x14ac:dyDescent="0.2">
      <c r="A49" s="1" t="s">
        <v>54</v>
      </c>
      <c r="B49" s="2">
        <f>+modelInfo!C51</f>
        <v>7081.5583999999999</v>
      </c>
      <c r="C49" s="2">
        <f>+modelInfo!D51</f>
        <v>50959.929799999998</v>
      </c>
      <c r="D49" s="2">
        <v>0</v>
      </c>
      <c r="E49" t="s">
        <v>5</v>
      </c>
    </row>
    <row r="50" spans="1:5" x14ac:dyDescent="0.2">
      <c r="A50" s="1" t="s">
        <v>55</v>
      </c>
      <c r="B50" s="2">
        <f>+modelInfo!C52</f>
        <v>7083.5851000000002</v>
      </c>
      <c r="C50" s="2">
        <f>+modelInfo!D52</f>
        <v>52047.267599999999</v>
      </c>
      <c r="D50" s="2">
        <v>0</v>
      </c>
      <c r="E50" t="s">
        <v>5</v>
      </c>
    </row>
    <row r="51" spans="1:5" x14ac:dyDescent="0.2">
      <c r="A51" s="1" t="s">
        <v>56</v>
      </c>
      <c r="B51" s="2">
        <f>+modelInfo!C53</f>
        <v>7085.4818999999998</v>
      </c>
      <c r="C51" s="2">
        <f>+modelInfo!D53</f>
        <v>53145.681600000004</v>
      </c>
      <c r="D51" s="2">
        <v>0</v>
      </c>
      <c r="E51" t="s">
        <v>5</v>
      </c>
    </row>
    <row r="52" spans="1:5" x14ac:dyDescent="0.2">
      <c r="A52" s="1" t="s">
        <v>57</v>
      </c>
      <c r="B52" s="2">
        <f>+modelInfo!C54</f>
        <v>7087.4763000000003</v>
      </c>
      <c r="C52" s="2">
        <f>+modelInfo!D54</f>
        <v>54508.645299999996</v>
      </c>
      <c r="D52" s="2">
        <v>0</v>
      </c>
      <c r="E52" t="s">
        <v>5</v>
      </c>
    </row>
    <row r="53" spans="1:5" x14ac:dyDescent="0.2">
      <c r="A53" s="1" t="s">
        <v>58</v>
      </c>
      <c r="B53" s="2">
        <f>+modelInfo!C55</f>
        <v>7088.4461000000001</v>
      </c>
      <c r="C53" s="2">
        <f>+modelInfo!D55</f>
        <v>55417.222099999999</v>
      </c>
      <c r="D53" s="2">
        <v>0</v>
      </c>
      <c r="E53" t="s">
        <v>5</v>
      </c>
    </row>
    <row r="54" spans="1:5" x14ac:dyDescent="0.2">
      <c r="A54" s="1" t="s">
        <v>59</v>
      </c>
      <c r="B54" s="2">
        <f>+modelInfo!C56</f>
        <v>7089.0217000000002</v>
      </c>
      <c r="C54" s="2">
        <f>+modelInfo!D56</f>
        <v>56334.352299999999</v>
      </c>
      <c r="D54" s="2">
        <v>0</v>
      </c>
      <c r="E54" t="s">
        <v>5</v>
      </c>
    </row>
    <row r="55" spans="1:5" x14ac:dyDescent="0.2">
      <c r="A55" s="1" t="s">
        <v>60</v>
      </c>
      <c r="B55" s="2">
        <f>+modelInfo!C57</f>
        <v>7089.0969999999998</v>
      </c>
      <c r="C55" s="2">
        <f>+modelInfo!D57</f>
        <v>57246.363100000002</v>
      </c>
      <c r="D55" s="2">
        <v>0</v>
      </c>
      <c r="E55" t="s">
        <v>5</v>
      </c>
    </row>
    <row r="56" spans="1:5" x14ac:dyDescent="0.2">
      <c r="A56" s="1" t="s">
        <v>61</v>
      </c>
      <c r="B56" s="2">
        <f>+modelInfo!C58</f>
        <v>7088.5864000000001</v>
      </c>
      <c r="C56" s="2">
        <f>+modelInfo!D58</f>
        <v>58152.974699999999</v>
      </c>
      <c r="D56" s="2">
        <v>0</v>
      </c>
      <c r="E56" t="s">
        <v>5</v>
      </c>
    </row>
    <row r="57" spans="1:5" x14ac:dyDescent="0.2">
      <c r="A57" s="1" t="s">
        <v>62</v>
      </c>
      <c r="B57" s="2">
        <f>+modelInfo!C59</f>
        <v>7086.5002000000004</v>
      </c>
      <c r="C57" s="2">
        <f>+modelInfo!D59</f>
        <v>59523.511500000001</v>
      </c>
      <c r="D57" s="2">
        <v>0</v>
      </c>
      <c r="E57" t="s">
        <v>5</v>
      </c>
    </row>
    <row r="58" spans="1:5" x14ac:dyDescent="0.2">
      <c r="A58" s="1" t="s">
        <v>63</v>
      </c>
      <c r="B58" s="2">
        <f>+modelInfo!C60</f>
        <v>7084.3401999999996</v>
      </c>
      <c r="C58" s="2">
        <f>+modelInfo!D60</f>
        <v>60429.571199999998</v>
      </c>
      <c r="D58" s="2">
        <v>0</v>
      </c>
      <c r="E58" t="s">
        <v>5</v>
      </c>
    </row>
    <row r="59" spans="1:5" x14ac:dyDescent="0.2">
      <c r="A59" s="1" t="s">
        <v>64</v>
      </c>
      <c r="B59" s="2">
        <f>+modelInfo!C61</f>
        <v>7082.1512000000002</v>
      </c>
      <c r="C59" s="2">
        <f>+modelInfo!D61</f>
        <v>61345.7765</v>
      </c>
      <c r="D59" s="2">
        <v>0</v>
      </c>
      <c r="E59" t="s">
        <v>5</v>
      </c>
    </row>
    <row r="60" spans="1:5" x14ac:dyDescent="0.2">
      <c r="A60" s="1" t="s">
        <v>65</v>
      </c>
      <c r="B60" s="2">
        <f>+modelInfo!C62</f>
        <v>7080.6212999999998</v>
      </c>
      <c r="C60" s="2">
        <f>+modelInfo!D62</f>
        <v>62257.951500000003</v>
      </c>
      <c r="D60" s="2">
        <v>0</v>
      </c>
      <c r="E60" t="s">
        <v>5</v>
      </c>
    </row>
    <row r="61" spans="1:5" x14ac:dyDescent="0.2">
      <c r="A61" s="1" t="s">
        <v>66</v>
      </c>
      <c r="B61" s="2">
        <f>+modelInfo!C63</f>
        <v>7080.3845000000001</v>
      </c>
      <c r="C61" s="2">
        <f>+modelInfo!D63</f>
        <v>63156.636599999998</v>
      </c>
      <c r="D61" s="2">
        <v>0</v>
      </c>
      <c r="E61" t="s">
        <v>5</v>
      </c>
    </row>
    <row r="62" spans="1:5" x14ac:dyDescent="0.2">
      <c r="A62" s="1" t="s">
        <v>67</v>
      </c>
      <c r="B62" s="2">
        <f>+modelInfo!C64</f>
        <v>7083.8936000000003</v>
      </c>
      <c r="C62" s="2">
        <f>+modelInfo!D64</f>
        <v>64532.043400000002</v>
      </c>
      <c r="D62" s="2">
        <v>0</v>
      </c>
      <c r="E62" t="s">
        <v>5</v>
      </c>
    </row>
    <row r="63" spans="1:5" x14ac:dyDescent="0.2">
      <c r="A63" s="1" t="s">
        <v>68</v>
      </c>
      <c r="B63" s="2">
        <f>+modelInfo!C65</f>
        <v>7089.1617999999999</v>
      </c>
      <c r="C63" s="2">
        <f>+modelInfo!D65</f>
        <v>65370.7952</v>
      </c>
      <c r="D63" s="2">
        <v>0</v>
      </c>
      <c r="E63" t="s">
        <v>5</v>
      </c>
    </row>
    <row r="64" spans="1:5" x14ac:dyDescent="0.2">
      <c r="A64" s="1" t="s">
        <v>69</v>
      </c>
      <c r="B64" s="2">
        <f>+modelInfo!C66</f>
        <v>7097.3450999999995</v>
      </c>
      <c r="C64" s="2">
        <f>+modelInfo!D66</f>
        <v>66203.498900000006</v>
      </c>
      <c r="D64" s="2">
        <v>0</v>
      </c>
      <c r="E64" t="s">
        <v>5</v>
      </c>
    </row>
    <row r="65" spans="1:5" x14ac:dyDescent="0.2">
      <c r="A65" s="1" t="s">
        <v>70</v>
      </c>
      <c r="B65" s="2">
        <f>+modelInfo!C67</f>
        <v>7106.7071999999998</v>
      </c>
      <c r="C65" s="2">
        <f>+modelInfo!D67</f>
        <v>66893.224900000001</v>
      </c>
      <c r="D65" s="2">
        <v>0</v>
      </c>
      <c r="E65" t="s">
        <v>5</v>
      </c>
    </row>
    <row r="66" spans="1:5" x14ac:dyDescent="0.2">
      <c r="A66" s="1" t="s">
        <v>72</v>
      </c>
      <c r="B66" s="2">
        <f>+modelInfo!C68</f>
        <v>7136.8689000000004</v>
      </c>
      <c r="C66" s="2">
        <f>+modelInfo!D68</f>
        <v>68405.054000000004</v>
      </c>
      <c r="D66" s="2">
        <v>0</v>
      </c>
      <c r="E66" t="s">
        <v>5</v>
      </c>
    </row>
    <row r="67" spans="1:5" x14ac:dyDescent="0.2">
      <c r="A67" s="1" t="s">
        <v>79</v>
      </c>
      <c r="B67" s="2">
        <f>+modelInfo!C4</f>
        <v>14982.044900000001</v>
      </c>
      <c r="C67" s="2">
        <f>+modelInfo!D4</f>
        <v>2332.9126999999999</v>
      </c>
      <c r="D67" s="2">
        <f>+modelInfo!G4</f>
        <v>288</v>
      </c>
      <c r="E67" t="s">
        <v>143</v>
      </c>
    </row>
    <row r="68" spans="1:5" x14ac:dyDescent="0.2">
      <c r="A68" s="1" t="s">
        <v>80</v>
      </c>
      <c r="B68" s="2">
        <f>+modelInfo!C5</f>
        <v>14304.67</v>
      </c>
      <c r="C68" s="2">
        <f>+modelInfo!D5</f>
        <v>4154.5767999999998</v>
      </c>
      <c r="D68" s="2">
        <f>+modelInfo!G5</f>
        <v>292.79999999999995</v>
      </c>
      <c r="E68" t="s">
        <v>143</v>
      </c>
    </row>
    <row r="69" spans="1:5" x14ac:dyDescent="0.2">
      <c r="A69" s="1" t="s">
        <v>81</v>
      </c>
      <c r="B69" s="2">
        <f>+modelInfo!C6</f>
        <v>13867.809499999999</v>
      </c>
      <c r="C69" s="2">
        <f>+modelInfo!D6</f>
        <v>5164.9093999999996</v>
      </c>
      <c r="D69" s="2">
        <f>+modelInfo!G6</f>
        <v>292.79999999999995</v>
      </c>
      <c r="E69" t="s">
        <v>143</v>
      </c>
    </row>
    <row r="70" spans="1:5" x14ac:dyDescent="0.2">
      <c r="A70" s="1" t="s">
        <v>82</v>
      </c>
      <c r="B70" s="2">
        <f>+modelInfo!C7</f>
        <v>13397.9809</v>
      </c>
      <c r="C70" s="2">
        <f>+modelInfo!D7</f>
        <v>6174.7349000000004</v>
      </c>
      <c r="D70" s="2">
        <f>+modelInfo!G7</f>
        <v>292.79999999999995</v>
      </c>
      <c r="E70" t="s">
        <v>143</v>
      </c>
    </row>
    <row r="71" spans="1:5" x14ac:dyDescent="0.2">
      <c r="A71" s="1" t="s">
        <v>83</v>
      </c>
      <c r="B71" s="2">
        <f>+modelInfo!C8</f>
        <v>12914.040800000001</v>
      </c>
      <c r="C71" s="2">
        <f>+modelInfo!D8</f>
        <v>7168.0447000000004</v>
      </c>
      <c r="D71" s="2">
        <f>+modelInfo!G8</f>
        <v>289.20000000000005</v>
      </c>
      <c r="E71" t="s">
        <v>143</v>
      </c>
    </row>
    <row r="72" spans="1:5" x14ac:dyDescent="0.2">
      <c r="A72" s="1" t="s">
        <v>84</v>
      </c>
      <c r="B72" s="2">
        <f>+modelInfo!C9</f>
        <v>12418.366599999999</v>
      </c>
      <c r="C72" s="2">
        <f>+modelInfo!D9</f>
        <v>8162.5126</v>
      </c>
      <c r="D72" s="2">
        <f>+modelInfo!G9</f>
        <v>291.60000000000002</v>
      </c>
      <c r="E72" t="s">
        <v>143</v>
      </c>
    </row>
    <row r="73" spans="1:5" x14ac:dyDescent="0.2">
      <c r="A73" s="1" t="s">
        <v>85</v>
      </c>
      <c r="B73" s="2">
        <f>+modelInfo!C10</f>
        <v>11743.536</v>
      </c>
      <c r="C73" s="2">
        <f>+modelInfo!D10</f>
        <v>9518.3803000000007</v>
      </c>
      <c r="D73" s="2">
        <f>+modelInfo!G10</f>
        <v>291.60000000000002</v>
      </c>
      <c r="E73" t="s">
        <v>143</v>
      </c>
    </row>
    <row r="74" spans="1:5" x14ac:dyDescent="0.2">
      <c r="A74" s="1" t="s">
        <v>86</v>
      </c>
      <c r="B74" s="2">
        <f>+modelInfo!C11</f>
        <v>11293.729799999999</v>
      </c>
      <c r="C74" s="2">
        <f>+modelInfo!D11</f>
        <v>10440.243200000001</v>
      </c>
      <c r="D74" s="2">
        <f>+modelInfo!G11</f>
        <v>286.79999999999995</v>
      </c>
      <c r="E74" t="s">
        <v>143</v>
      </c>
    </row>
    <row r="75" spans="1:5" x14ac:dyDescent="0.2">
      <c r="A75" s="1" t="s">
        <v>87</v>
      </c>
      <c r="B75" s="2">
        <f>+modelInfo!C12</f>
        <v>10848.534600000001</v>
      </c>
      <c r="C75" s="2">
        <f>+modelInfo!D12</f>
        <v>11371.7016</v>
      </c>
      <c r="D75" s="2">
        <f>+modelInfo!G12</f>
        <v>294</v>
      </c>
      <c r="E75" t="s">
        <v>143</v>
      </c>
    </row>
    <row r="76" spans="1:5" x14ac:dyDescent="0.2">
      <c r="A76" s="1" t="s">
        <v>88</v>
      </c>
      <c r="B76" s="2">
        <f>+modelInfo!C13</f>
        <v>10416.2606</v>
      </c>
      <c r="C76" s="2">
        <f>+modelInfo!D13</f>
        <v>12298.7942</v>
      </c>
      <c r="D76" s="2">
        <f>+modelInfo!G13</f>
        <v>289.20000000000005</v>
      </c>
      <c r="E76" t="s">
        <v>143</v>
      </c>
    </row>
    <row r="77" spans="1:5" x14ac:dyDescent="0.2">
      <c r="A77" s="1" t="s">
        <v>89</v>
      </c>
      <c r="B77" s="2">
        <f>+modelInfo!C14</f>
        <v>9995.6399000000001</v>
      </c>
      <c r="C77" s="2">
        <f>+modelInfo!D14</f>
        <v>13238.549800000001</v>
      </c>
      <c r="D77" s="2">
        <f>+modelInfo!G14</f>
        <v>296.39999999999998</v>
      </c>
      <c r="E77" t="s">
        <v>143</v>
      </c>
    </row>
    <row r="78" spans="1:5" x14ac:dyDescent="0.2">
      <c r="A78" s="1" t="s">
        <v>90</v>
      </c>
      <c r="B78" s="2">
        <f>+modelInfo!C15</f>
        <v>9419.8268000000007</v>
      </c>
      <c r="C78" s="2">
        <f>+modelInfo!D15</f>
        <v>14640.3976</v>
      </c>
      <c r="D78" s="2">
        <f>+modelInfo!G15</f>
        <v>289.20000000000005</v>
      </c>
      <c r="E78" t="s">
        <v>143</v>
      </c>
    </row>
    <row r="79" spans="1:5" x14ac:dyDescent="0.2">
      <c r="A79" s="1" t="s">
        <v>91</v>
      </c>
      <c r="B79" s="2">
        <f>+modelInfo!C16</f>
        <v>9093.6429000000007</v>
      </c>
      <c r="C79" s="2">
        <f>+modelInfo!D16</f>
        <v>15514.191800000001</v>
      </c>
      <c r="D79" s="2">
        <f>+modelInfo!G16</f>
        <v>351.6</v>
      </c>
      <c r="E79" t="s">
        <v>143</v>
      </c>
    </row>
    <row r="80" spans="1:5" x14ac:dyDescent="0.2">
      <c r="A80" s="1" t="s">
        <v>92</v>
      </c>
      <c r="B80" s="2">
        <f>+modelInfo!C17</f>
        <v>8786.5195999999996</v>
      </c>
      <c r="C80" s="2">
        <f>+modelInfo!D17</f>
        <v>16390.671300000002</v>
      </c>
      <c r="D80" s="2">
        <f>+modelInfo!G17</f>
        <v>298.79999999999995</v>
      </c>
      <c r="E80" t="s">
        <v>143</v>
      </c>
    </row>
    <row r="81" spans="1:5" x14ac:dyDescent="0.2">
      <c r="A81" s="1" t="s">
        <v>93</v>
      </c>
      <c r="B81" s="2">
        <f>+modelInfo!C18</f>
        <v>8511.3863999999994</v>
      </c>
      <c r="C81" s="2">
        <f>+modelInfo!D18</f>
        <v>17281.751899999999</v>
      </c>
      <c r="D81" s="2">
        <f>+modelInfo!G18</f>
        <v>295.20000000000005</v>
      </c>
      <c r="E81" t="s">
        <v>143</v>
      </c>
    </row>
    <row r="82" spans="1:5" x14ac:dyDescent="0.2">
      <c r="A82" s="1" t="s">
        <v>94</v>
      </c>
      <c r="B82" s="2">
        <f>+modelInfo!C19</f>
        <v>8257.7464999999993</v>
      </c>
      <c r="C82" s="2">
        <f>+modelInfo!D19</f>
        <v>18179.9833</v>
      </c>
      <c r="D82" s="2">
        <f>+modelInfo!G19</f>
        <v>291.60000000000002</v>
      </c>
      <c r="E82" t="s">
        <v>143</v>
      </c>
    </row>
    <row r="83" spans="1:5" x14ac:dyDescent="0.2">
      <c r="A83" s="1" t="s">
        <v>95</v>
      </c>
      <c r="B83" s="2">
        <f>+modelInfo!C20</f>
        <v>7929.6471000000001</v>
      </c>
      <c r="C83" s="2">
        <f>+modelInfo!D20</f>
        <v>19510.650000000001</v>
      </c>
      <c r="D83" s="2">
        <f>+modelInfo!G20</f>
        <v>285.60000000000002</v>
      </c>
      <c r="E83" t="s">
        <v>143</v>
      </c>
    </row>
    <row r="84" spans="1:5" x14ac:dyDescent="0.2">
      <c r="A84" s="1" t="s">
        <v>96</v>
      </c>
      <c r="B84" s="2">
        <f>+modelInfo!C21</f>
        <v>7743.9377000000004</v>
      </c>
      <c r="C84" s="2">
        <f>+modelInfo!D21</f>
        <v>20422.172299999998</v>
      </c>
      <c r="D84" s="2">
        <f>+modelInfo!G21</f>
        <v>294</v>
      </c>
      <c r="E84" t="s">
        <v>143</v>
      </c>
    </row>
    <row r="85" spans="1:5" x14ac:dyDescent="0.2">
      <c r="A85" s="1" t="s">
        <v>97</v>
      </c>
      <c r="B85" s="2">
        <f>+modelInfo!C22</f>
        <v>7582.5762999999997</v>
      </c>
      <c r="C85" s="2">
        <f>+modelInfo!D22</f>
        <v>21332.774300000001</v>
      </c>
      <c r="D85" s="2">
        <f>+modelInfo!G22</f>
        <v>290.39999999999998</v>
      </c>
      <c r="E85" t="s">
        <v>143</v>
      </c>
    </row>
    <row r="86" spans="1:5" x14ac:dyDescent="0.2">
      <c r="A86" s="1" t="s">
        <v>98</v>
      </c>
      <c r="B86" s="2">
        <f>+modelInfo!C23</f>
        <v>7440.7723999999998</v>
      </c>
      <c r="C86" s="2">
        <f>+modelInfo!D23</f>
        <v>22382.569200000002</v>
      </c>
      <c r="D86" s="2">
        <f>+modelInfo!G23</f>
        <v>286.79999999999995</v>
      </c>
      <c r="E86" t="s">
        <v>143</v>
      </c>
    </row>
    <row r="87" spans="1:5" x14ac:dyDescent="0.2">
      <c r="A87" s="1" t="s">
        <v>99</v>
      </c>
      <c r="B87" s="2">
        <f>+modelInfo!C24</f>
        <v>7355.3967000000002</v>
      </c>
      <c r="C87" s="2">
        <f>+modelInfo!D24</f>
        <v>23160.0831</v>
      </c>
      <c r="D87" s="2">
        <f>+modelInfo!G24</f>
        <v>295.20000000000005</v>
      </c>
      <c r="E87" t="s">
        <v>143</v>
      </c>
    </row>
    <row r="88" spans="1:5" x14ac:dyDescent="0.2">
      <c r="A88" s="1" t="s">
        <v>100</v>
      </c>
      <c r="B88" s="2">
        <f>+modelInfo!C25</f>
        <v>7229.7803000000004</v>
      </c>
      <c r="C88" s="2">
        <f>+modelInfo!D25</f>
        <v>24528.586500000001</v>
      </c>
      <c r="D88" s="2">
        <f>+modelInfo!G25</f>
        <v>289.20000000000005</v>
      </c>
      <c r="E88" t="s">
        <v>143</v>
      </c>
    </row>
    <row r="89" spans="1:5" x14ac:dyDescent="0.2">
      <c r="A89" s="1" t="s">
        <v>101</v>
      </c>
      <c r="B89" s="2">
        <f>+modelInfo!C26</f>
        <v>7173.7794999999996</v>
      </c>
      <c r="C89" s="2">
        <f>+modelInfo!D26</f>
        <v>25421.793099999999</v>
      </c>
      <c r="D89" s="2">
        <f>+modelInfo!G26</f>
        <v>285.60000000000002</v>
      </c>
      <c r="E89" t="s">
        <v>143</v>
      </c>
    </row>
    <row r="90" spans="1:5" x14ac:dyDescent="0.2">
      <c r="A90" s="1" t="s">
        <v>102</v>
      </c>
      <c r="B90" s="2">
        <f>+modelInfo!C27</f>
        <v>7140.9323000000004</v>
      </c>
      <c r="C90" s="2">
        <f>+modelInfo!D27</f>
        <v>26315.517400000001</v>
      </c>
      <c r="D90" s="2">
        <f>+modelInfo!G27</f>
        <v>282</v>
      </c>
      <c r="E90" t="s">
        <v>143</v>
      </c>
    </row>
    <row r="91" spans="1:5" x14ac:dyDescent="0.2">
      <c r="A91" s="1" t="s">
        <v>103</v>
      </c>
      <c r="B91" s="2">
        <f>+modelInfo!C28</f>
        <v>7112.1720999999998</v>
      </c>
      <c r="C91" s="2">
        <f>+modelInfo!D28</f>
        <v>27207.753700000001</v>
      </c>
      <c r="D91" s="2">
        <f>+modelInfo!G28</f>
        <v>290.39999999999998</v>
      </c>
      <c r="E91" t="s">
        <v>143</v>
      </c>
    </row>
    <row r="92" spans="1:5" x14ac:dyDescent="0.2">
      <c r="A92" s="1" t="s">
        <v>104</v>
      </c>
      <c r="B92" s="2">
        <f>+modelInfo!C29</f>
        <v>7089.1617999999999</v>
      </c>
      <c r="C92" s="2">
        <f>+modelInfo!D29</f>
        <v>28097.487099999998</v>
      </c>
      <c r="D92" s="2">
        <f>+modelInfo!G29</f>
        <v>286.79999999999995</v>
      </c>
      <c r="E92" t="s">
        <v>143</v>
      </c>
    </row>
    <row r="93" spans="1:5" x14ac:dyDescent="0.2">
      <c r="A93" s="1" t="s">
        <v>105</v>
      </c>
      <c r="B93" s="2">
        <f>+modelInfo!C30</f>
        <v>7077.9198999999999</v>
      </c>
      <c r="C93" s="2">
        <f>+modelInfo!D30</f>
        <v>29615.037899999999</v>
      </c>
      <c r="D93" s="2">
        <f>+modelInfo!G30</f>
        <v>280.79999999999995</v>
      </c>
      <c r="E93" t="s">
        <v>143</v>
      </c>
    </row>
    <row r="94" spans="1:5" x14ac:dyDescent="0.2">
      <c r="A94" s="1" t="s">
        <v>106</v>
      </c>
      <c r="B94" s="2">
        <f>+modelInfo!C31</f>
        <v>7075.7464</v>
      </c>
      <c r="C94" s="2">
        <f>+modelInfo!D31</f>
        <v>30705.7196</v>
      </c>
      <c r="D94" s="2">
        <f>+modelInfo!G31</f>
        <v>276</v>
      </c>
      <c r="E94" t="s">
        <v>143</v>
      </c>
    </row>
    <row r="95" spans="1:5" x14ac:dyDescent="0.2">
      <c r="A95" s="1" t="s">
        <v>107</v>
      </c>
      <c r="B95" s="2">
        <f>+modelInfo!C32</f>
        <v>7074.2871999999998</v>
      </c>
      <c r="C95" s="2">
        <f>+modelInfo!D32</f>
        <v>31797.8269</v>
      </c>
      <c r="D95" s="2">
        <f>+modelInfo!G32</f>
        <v>271.20000000000005</v>
      </c>
      <c r="E95" t="s">
        <v>143</v>
      </c>
    </row>
    <row r="96" spans="1:5" x14ac:dyDescent="0.2">
      <c r="A96" s="1" t="s">
        <v>108</v>
      </c>
      <c r="B96" s="2">
        <f>+modelInfo!C33</f>
        <v>7073.3473999999997</v>
      </c>
      <c r="C96" s="2">
        <f>+modelInfo!D33</f>
        <v>32898.2019</v>
      </c>
      <c r="D96" s="2">
        <f>+modelInfo!G33</f>
        <v>267.60000000000002</v>
      </c>
      <c r="E96" t="s">
        <v>143</v>
      </c>
    </row>
    <row r="97" spans="1:5" x14ac:dyDescent="0.2">
      <c r="A97" s="1" t="s">
        <v>109</v>
      </c>
      <c r="B97" s="2">
        <f>+modelInfo!C34</f>
        <v>7072.2825999999995</v>
      </c>
      <c r="C97" s="2">
        <f>+modelInfo!D34</f>
        <v>34257.8825</v>
      </c>
      <c r="D97" s="2">
        <f>+modelInfo!G34</f>
        <v>273.60000000000002</v>
      </c>
      <c r="E97" t="s">
        <v>143</v>
      </c>
    </row>
    <row r="98" spans="1:5" x14ac:dyDescent="0.2">
      <c r="A98" s="1" t="s">
        <v>110</v>
      </c>
      <c r="B98" s="2">
        <f>+modelInfo!C35</f>
        <v>7071.4062999999996</v>
      </c>
      <c r="C98" s="2">
        <f>+modelInfo!D35</f>
        <v>35150.5942</v>
      </c>
      <c r="D98" s="2">
        <f>+modelInfo!G35</f>
        <v>270</v>
      </c>
      <c r="E98" t="s">
        <v>143</v>
      </c>
    </row>
    <row r="99" spans="1:5" x14ac:dyDescent="0.2">
      <c r="A99" s="1" t="s">
        <v>111</v>
      </c>
      <c r="B99" s="2">
        <f>+modelInfo!C36</f>
        <v>7070.4488000000001</v>
      </c>
      <c r="C99" s="2">
        <f>+modelInfo!D36</f>
        <v>36041.289900000003</v>
      </c>
      <c r="D99" s="2">
        <f>+modelInfo!G36</f>
        <v>266.39999999999998</v>
      </c>
      <c r="E99" t="s">
        <v>143</v>
      </c>
    </row>
    <row r="100" spans="1:5" x14ac:dyDescent="0.2">
      <c r="A100" s="1" t="s">
        <v>112</v>
      </c>
      <c r="B100" s="2">
        <f>+modelInfo!C37</f>
        <v>7069.3675000000003</v>
      </c>
      <c r="C100" s="2">
        <f>+modelInfo!D37</f>
        <v>37043.678500000002</v>
      </c>
      <c r="D100" s="2">
        <f>+modelInfo!G37</f>
        <v>274.79999999999995</v>
      </c>
      <c r="E100" t="s">
        <v>143</v>
      </c>
    </row>
    <row r="101" spans="1:5" x14ac:dyDescent="0.2">
      <c r="A101" s="1" t="s">
        <v>113</v>
      </c>
      <c r="B101" s="2">
        <f>+modelInfo!C38</f>
        <v>7068.1661999999997</v>
      </c>
      <c r="C101" s="2">
        <f>+modelInfo!D38</f>
        <v>38302.8249</v>
      </c>
      <c r="D101" s="2">
        <f>+modelInfo!G38</f>
        <v>268.79999999999995</v>
      </c>
      <c r="E101" t="s">
        <v>143</v>
      </c>
    </row>
    <row r="102" spans="1:5" x14ac:dyDescent="0.2">
      <c r="A102" s="1" t="s">
        <v>114</v>
      </c>
      <c r="B102" s="2">
        <f>+modelInfo!C39</f>
        <v>7067.5573999999997</v>
      </c>
      <c r="C102" s="2">
        <f>+modelInfo!D39</f>
        <v>39148.885000000002</v>
      </c>
      <c r="D102" s="2">
        <f>+modelInfo!G39</f>
        <v>277.20000000000005</v>
      </c>
      <c r="E102" t="s">
        <v>143</v>
      </c>
    </row>
    <row r="103" spans="1:5" x14ac:dyDescent="0.2">
      <c r="A103" s="1" t="s">
        <v>115</v>
      </c>
      <c r="B103" s="2">
        <f>+modelInfo!C40</f>
        <v>7067.1833999999999</v>
      </c>
      <c r="C103" s="2">
        <f>+modelInfo!D40</f>
        <v>39998.393900000003</v>
      </c>
      <c r="D103" s="2">
        <f>+modelInfo!G40</f>
        <v>274.79999999999995</v>
      </c>
      <c r="E103" t="s">
        <v>143</v>
      </c>
    </row>
    <row r="104" spans="1:5" x14ac:dyDescent="0.2">
      <c r="A104" s="1" t="s">
        <v>116</v>
      </c>
      <c r="B104" s="2">
        <f>+modelInfo!C41</f>
        <v>7067.1095999999998</v>
      </c>
      <c r="C104" s="2">
        <f>+modelInfo!D41</f>
        <v>40844.719599999997</v>
      </c>
      <c r="D104" s="2">
        <f>+modelInfo!G41</f>
        <v>284.39999999999998</v>
      </c>
      <c r="E104" t="s">
        <v>143</v>
      </c>
    </row>
    <row r="105" spans="1:5" x14ac:dyDescent="0.2">
      <c r="A105" s="1" t="s">
        <v>117</v>
      </c>
      <c r="B105" s="2">
        <f>+modelInfo!C42</f>
        <v>7067.6234999999997</v>
      </c>
      <c r="C105" s="2">
        <f>+modelInfo!D42</f>
        <v>42207.787400000001</v>
      </c>
      <c r="D105" s="2">
        <f>+modelInfo!G42</f>
        <v>283.20000000000005</v>
      </c>
      <c r="E105" t="s">
        <v>143</v>
      </c>
    </row>
    <row r="106" spans="1:5" x14ac:dyDescent="0.2">
      <c r="A106" s="1" t="s">
        <v>118</v>
      </c>
      <c r="B106" s="2">
        <f>+modelInfo!C43</f>
        <v>7068.2584999999999</v>
      </c>
      <c r="C106" s="2">
        <f>+modelInfo!D43</f>
        <v>43020.639199999998</v>
      </c>
      <c r="D106" s="2">
        <f>+modelInfo!G43</f>
        <v>285.60000000000002</v>
      </c>
      <c r="E106" t="s">
        <v>143</v>
      </c>
    </row>
    <row r="107" spans="1:5" x14ac:dyDescent="0.2">
      <c r="A107" s="1" t="s">
        <v>119</v>
      </c>
      <c r="B107" s="2">
        <f>+modelInfo!C44</f>
        <v>7069.0995000000003</v>
      </c>
      <c r="C107" s="2">
        <f>+modelInfo!D44</f>
        <v>43827.8073</v>
      </c>
      <c r="D107" s="2">
        <f>+modelInfo!G44</f>
        <v>276</v>
      </c>
      <c r="E107" t="s">
        <v>143</v>
      </c>
    </row>
    <row r="108" spans="1:5" x14ac:dyDescent="0.2">
      <c r="A108" s="1" t="s">
        <v>120</v>
      </c>
      <c r="B108" s="2">
        <f>+modelInfo!C45</f>
        <v>7070.1307999999999</v>
      </c>
      <c r="C108" s="2">
        <f>+modelInfo!D45</f>
        <v>44639.664900000003</v>
      </c>
      <c r="D108" s="2">
        <f>+modelInfo!G45</f>
        <v>280.79999999999995</v>
      </c>
      <c r="E108" t="s">
        <v>143</v>
      </c>
    </row>
    <row r="109" spans="1:5" x14ac:dyDescent="0.2">
      <c r="A109" s="1" t="s">
        <v>121</v>
      </c>
      <c r="B109" s="2">
        <f>+modelInfo!C46</f>
        <v>7072.2025000000003</v>
      </c>
      <c r="C109" s="2">
        <f>+modelInfo!D46</f>
        <v>45999.938499999997</v>
      </c>
      <c r="D109" s="2">
        <f>+modelInfo!G46</f>
        <v>280.79999999999995</v>
      </c>
      <c r="E109" t="s">
        <v>143</v>
      </c>
    </row>
    <row r="110" spans="1:5" x14ac:dyDescent="0.2">
      <c r="A110" s="1" t="s">
        <v>122</v>
      </c>
      <c r="B110" s="2">
        <f>+modelInfo!C47</f>
        <v>7073.634</v>
      </c>
      <c r="C110" s="2">
        <f>+modelInfo!D47</f>
        <v>46830.446300000003</v>
      </c>
      <c r="D110" s="2">
        <f>+modelInfo!G47</f>
        <v>276</v>
      </c>
      <c r="E110" t="s">
        <v>143</v>
      </c>
    </row>
    <row r="111" spans="1:5" x14ac:dyDescent="0.2">
      <c r="A111" s="1" t="s">
        <v>123</v>
      </c>
      <c r="B111" s="2">
        <f>+modelInfo!C48</f>
        <v>7075.1619000000001</v>
      </c>
      <c r="C111" s="2">
        <f>+modelInfo!D48</f>
        <v>47663.3433</v>
      </c>
      <c r="D111" s="2">
        <f>+modelInfo!G48</f>
        <v>272.39999999999998</v>
      </c>
      <c r="E111" t="s">
        <v>143</v>
      </c>
    </row>
    <row r="112" spans="1:5" x14ac:dyDescent="0.2">
      <c r="A112" s="1" t="s">
        <v>124</v>
      </c>
      <c r="B112" s="2">
        <f>+modelInfo!C49</f>
        <v>7076.7437</v>
      </c>
      <c r="C112" s="2">
        <f>+modelInfo!D49</f>
        <v>48491.147499999999</v>
      </c>
      <c r="D112" s="2">
        <f>+modelInfo!G49</f>
        <v>279.60000000000002</v>
      </c>
      <c r="E112" t="s">
        <v>143</v>
      </c>
    </row>
    <row r="113" spans="1:5" x14ac:dyDescent="0.2">
      <c r="A113" s="1" t="s">
        <v>125</v>
      </c>
      <c r="B113" s="2">
        <f>+modelInfo!C50</f>
        <v>7079.4229999999998</v>
      </c>
      <c r="C113" s="2">
        <f>+modelInfo!D50</f>
        <v>49860.215499999998</v>
      </c>
      <c r="D113" s="2">
        <f>+modelInfo!G50</f>
        <v>292.79999999999995</v>
      </c>
      <c r="E113" t="s">
        <v>143</v>
      </c>
    </row>
    <row r="114" spans="1:5" x14ac:dyDescent="0.2">
      <c r="A114" s="1" t="s">
        <v>126</v>
      </c>
      <c r="B114" s="2">
        <f>+modelInfo!C51</f>
        <v>7081.5583999999999</v>
      </c>
      <c r="C114" s="2">
        <f>+modelInfo!D51</f>
        <v>50959.929799999998</v>
      </c>
      <c r="D114" s="2">
        <f>+modelInfo!G51</f>
        <v>291.60000000000002</v>
      </c>
      <c r="E114" t="s">
        <v>143</v>
      </c>
    </row>
    <row r="115" spans="1:5" x14ac:dyDescent="0.2">
      <c r="A115" s="1" t="s">
        <v>127</v>
      </c>
      <c r="B115" s="2">
        <f>+modelInfo!C52</f>
        <v>7083.5851000000002</v>
      </c>
      <c r="C115" s="2">
        <f>+modelInfo!D52</f>
        <v>52047.267599999999</v>
      </c>
      <c r="D115" s="2">
        <f>+modelInfo!G52</f>
        <v>290.39999999999998</v>
      </c>
      <c r="E115" t="s">
        <v>143</v>
      </c>
    </row>
    <row r="116" spans="1:5" x14ac:dyDescent="0.2">
      <c r="A116" s="1" t="s">
        <v>128</v>
      </c>
      <c r="B116" s="2">
        <f>+modelInfo!C53</f>
        <v>7085.4818999999998</v>
      </c>
      <c r="C116" s="2">
        <f>+modelInfo!D53</f>
        <v>53145.681600000004</v>
      </c>
      <c r="D116" s="2">
        <f>+modelInfo!G53</f>
        <v>288</v>
      </c>
      <c r="E116" t="s">
        <v>143</v>
      </c>
    </row>
    <row r="117" spans="1:5" x14ac:dyDescent="0.2">
      <c r="A117" s="1" t="s">
        <v>129</v>
      </c>
      <c r="B117" s="2">
        <f>+modelInfo!C54</f>
        <v>7087.4763000000003</v>
      </c>
      <c r="C117" s="2">
        <f>+modelInfo!D54</f>
        <v>54508.645299999996</v>
      </c>
      <c r="D117" s="2">
        <f>+modelInfo!G54</f>
        <v>289.20000000000005</v>
      </c>
      <c r="E117" t="s">
        <v>143</v>
      </c>
    </row>
    <row r="118" spans="1:5" x14ac:dyDescent="0.2">
      <c r="A118" s="1" t="s">
        <v>130</v>
      </c>
      <c r="B118" s="2">
        <f>+modelInfo!C55</f>
        <v>7088.4461000000001</v>
      </c>
      <c r="C118" s="2">
        <f>+modelInfo!D55</f>
        <v>55417.222099999999</v>
      </c>
      <c r="D118" s="2">
        <f>+modelInfo!G55</f>
        <v>297.60000000000002</v>
      </c>
      <c r="E118" t="s">
        <v>143</v>
      </c>
    </row>
    <row r="119" spans="1:5" x14ac:dyDescent="0.2">
      <c r="A119" s="1" t="s">
        <v>131</v>
      </c>
      <c r="B119" s="2">
        <f>+modelInfo!C56</f>
        <v>7089.0217000000002</v>
      </c>
      <c r="C119" s="2">
        <f>+modelInfo!D56</f>
        <v>56334.352299999999</v>
      </c>
      <c r="D119" s="2">
        <f>+modelInfo!G56</f>
        <v>294</v>
      </c>
      <c r="E119" t="s">
        <v>143</v>
      </c>
    </row>
    <row r="120" spans="1:5" x14ac:dyDescent="0.2">
      <c r="A120" s="1" t="s">
        <v>132</v>
      </c>
      <c r="B120" s="2">
        <f>+modelInfo!C57</f>
        <v>7089.0969999999998</v>
      </c>
      <c r="C120" s="2">
        <f>+modelInfo!D57</f>
        <v>57246.363100000002</v>
      </c>
      <c r="D120" s="2">
        <f>+modelInfo!G57</f>
        <v>303.60000000000002</v>
      </c>
      <c r="E120" t="s">
        <v>143</v>
      </c>
    </row>
    <row r="121" spans="1:5" x14ac:dyDescent="0.2">
      <c r="A121" s="1" t="s">
        <v>133</v>
      </c>
      <c r="B121" s="2">
        <f>+modelInfo!C58</f>
        <v>7088.5864000000001</v>
      </c>
      <c r="C121" s="2">
        <f>+modelInfo!D58</f>
        <v>58152.974699999999</v>
      </c>
      <c r="D121" s="2">
        <f>+modelInfo!G58</f>
        <v>312</v>
      </c>
      <c r="E121" t="s">
        <v>143</v>
      </c>
    </row>
    <row r="122" spans="1:5" x14ac:dyDescent="0.2">
      <c r="A122" s="1" t="s">
        <v>134</v>
      </c>
      <c r="B122" s="2">
        <f>+modelInfo!C59</f>
        <v>7086.5002000000004</v>
      </c>
      <c r="C122" s="2">
        <f>+modelInfo!D59</f>
        <v>59523.511500000001</v>
      </c>
      <c r="D122" s="2">
        <f>+modelInfo!G59</f>
        <v>324</v>
      </c>
      <c r="E122" t="s">
        <v>143</v>
      </c>
    </row>
    <row r="123" spans="1:5" x14ac:dyDescent="0.2">
      <c r="A123" s="1" t="s">
        <v>135</v>
      </c>
      <c r="B123" s="2">
        <f>+modelInfo!C60</f>
        <v>7084.3401999999996</v>
      </c>
      <c r="C123" s="2">
        <f>+modelInfo!D60</f>
        <v>60429.571199999998</v>
      </c>
      <c r="D123" s="2">
        <f>+modelInfo!G60</f>
        <v>339.6</v>
      </c>
      <c r="E123" t="s">
        <v>143</v>
      </c>
    </row>
    <row r="124" spans="1:5" x14ac:dyDescent="0.2">
      <c r="A124" s="1" t="s">
        <v>136</v>
      </c>
      <c r="B124" s="2">
        <f>+modelInfo!C61</f>
        <v>7082.1512000000002</v>
      </c>
      <c r="C124" s="2">
        <f>+modelInfo!D61</f>
        <v>61345.7765</v>
      </c>
      <c r="D124" s="2">
        <f>+modelInfo!G61</f>
        <v>352.79999999999995</v>
      </c>
      <c r="E124" t="s">
        <v>143</v>
      </c>
    </row>
    <row r="125" spans="1:5" x14ac:dyDescent="0.2">
      <c r="A125" s="1" t="s">
        <v>137</v>
      </c>
      <c r="B125" s="2">
        <f>+modelInfo!C62</f>
        <v>7080.6212999999998</v>
      </c>
      <c r="C125" s="2">
        <f>+modelInfo!D62</f>
        <v>62257.951500000003</v>
      </c>
      <c r="D125" s="2">
        <f>+modelInfo!G62</f>
        <v>362.4</v>
      </c>
      <c r="E125" t="s">
        <v>143</v>
      </c>
    </row>
    <row r="126" spans="1:5" x14ac:dyDescent="0.2">
      <c r="A126" s="1" t="s">
        <v>138</v>
      </c>
      <c r="B126" s="2">
        <f>+modelInfo!C63</f>
        <v>7080.3845000000001</v>
      </c>
      <c r="C126" s="2">
        <f>+modelInfo!D63</f>
        <v>63156.636599999998</v>
      </c>
      <c r="D126" s="2">
        <f>+modelInfo!G63</f>
        <v>367.20000000000005</v>
      </c>
      <c r="E126" t="s">
        <v>143</v>
      </c>
    </row>
    <row r="127" spans="1:5" x14ac:dyDescent="0.2">
      <c r="A127" s="1" t="s">
        <v>139</v>
      </c>
      <c r="B127" s="2">
        <f>+modelInfo!C64</f>
        <v>7083.8936000000003</v>
      </c>
      <c r="C127" s="2">
        <f>+modelInfo!D64</f>
        <v>64532.043400000002</v>
      </c>
      <c r="D127" s="2">
        <f>+modelInfo!G64</f>
        <v>350.4</v>
      </c>
      <c r="E127" t="s">
        <v>143</v>
      </c>
    </row>
    <row r="128" spans="1:5" x14ac:dyDescent="0.2">
      <c r="A128" s="1" t="s">
        <v>140</v>
      </c>
      <c r="B128" s="2">
        <f>+modelInfo!C65</f>
        <v>7089.1617999999999</v>
      </c>
      <c r="C128" s="2">
        <f>+modelInfo!D65</f>
        <v>65370.7952</v>
      </c>
      <c r="D128" s="2">
        <f>+modelInfo!G65</f>
        <v>337.20000000000005</v>
      </c>
      <c r="E128" t="s">
        <v>143</v>
      </c>
    </row>
    <row r="129" spans="1:5" x14ac:dyDescent="0.2">
      <c r="A129" s="1" t="s">
        <v>141</v>
      </c>
      <c r="B129" s="2">
        <f>+modelInfo!C66</f>
        <v>7097.3450999999995</v>
      </c>
      <c r="C129" s="2">
        <f>+modelInfo!D66</f>
        <v>66203.498900000006</v>
      </c>
      <c r="D129" s="2">
        <f>+modelInfo!G66</f>
        <v>319.20000000000005</v>
      </c>
      <c r="E129" t="s">
        <v>143</v>
      </c>
    </row>
    <row r="130" spans="1:5" x14ac:dyDescent="0.2">
      <c r="A130" s="1" t="s">
        <v>71</v>
      </c>
      <c r="B130" s="2">
        <f>+modelInfo!C67</f>
        <v>7106.7071999999998</v>
      </c>
      <c r="C130" s="2">
        <f>+modelInfo!D67</f>
        <v>66893.224900000001</v>
      </c>
      <c r="D130" s="2">
        <f>+modelInfo!G67</f>
        <v>319.20000000000005</v>
      </c>
      <c r="E130" t="s">
        <v>143</v>
      </c>
    </row>
    <row r="131" spans="1:5" x14ac:dyDescent="0.2">
      <c r="A131" s="1" t="s">
        <v>142</v>
      </c>
      <c r="B131" s="2">
        <f>+modelInfo!C68</f>
        <v>7136.8689000000004</v>
      </c>
      <c r="C131" s="2">
        <f>+modelInfo!D68</f>
        <v>68405.054000000004</v>
      </c>
      <c r="D131" s="2">
        <f>+modelInfo!G68</f>
        <v>319.20000000000005</v>
      </c>
      <c r="E131" t="s">
        <v>143</v>
      </c>
    </row>
    <row r="132" spans="1:5" x14ac:dyDescent="0.2">
      <c r="A132" s="1" t="s">
        <v>144</v>
      </c>
      <c r="B132" s="2">
        <f>+modelInfo!C4</f>
        <v>14982.044900000001</v>
      </c>
      <c r="C132" s="2">
        <f>+modelInfo!D4</f>
        <v>2332.9126999999999</v>
      </c>
      <c r="D132" s="2">
        <f>+modelInfo!G4 + modelInfo!$P$4</f>
        <v>348</v>
      </c>
      <c r="E132" t="s">
        <v>209</v>
      </c>
    </row>
    <row r="133" spans="1:5" x14ac:dyDescent="0.2">
      <c r="A133" s="1" t="s">
        <v>145</v>
      </c>
      <c r="B133" s="2">
        <f>+modelInfo!C5</f>
        <v>14304.67</v>
      </c>
      <c r="C133" s="2">
        <f>+modelInfo!D5</f>
        <v>4154.5767999999998</v>
      </c>
      <c r="D133" s="2">
        <f>+modelInfo!G5 + modelInfo!$P$4</f>
        <v>352.79999999999995</v>
      </c>
      <c r="E133" t="s">
        <v>209</v>
      </c>
    </row>
    <row r="134" spans="1:5" x14ac:dyDescent="0.2">
      <c r="A134" s="1" t="s">
        <v>146</v>
      </c>
      <c r="B134" s="2">
        <f>+modelInfo!C6</f>
        <v>13867.809499999999</v>
      </c>
      <c r="C134" s="2">
        <f>+modelInfo!D6</f>
        <v>5164.9093999999996</v>
      </c>
      <c r="D134" s="2">
        <f>+modelInfo!G6 + modelInfo!$P$4</f>
        <v>352.79999999999995</v>
      </c>
      <c r="E134" t="s">
        <v>209</v>
      </c>
    </row>
    <row r="135" spans="1:5" x14ac:dyDescent="0.2">
      <c r="A135" s="1" t="s">
        <v>147</v>
      </c>
      <c r="B135" s="2">
        <f>+modelInfo!C7</f>
        <v>13397.9809</v>
      </c>
      <c r="C135" s="2">
        <f>+modelInfo!D7</f>
        <v>6174.7349000000004</v>
      </c>
      <c r="D135" s="2">
        <f>+modelInfo!G7 + modelInfo!$P$4</f>
        <v>352.79999999999995</v>
      </c>
      <c r="E135" t="s">
        <v>209</v>
      </c>
    </row>
    <row r="136" spans="1:5" x14ac:dyDescent="0.2">
      <c r="A136" s="1" t="s">
        <v>148</v>
      </c>
      <c r="B136" s="2">
        <f>+modelInfo!C8</f>
        <v>12914.040800000001</v>
      </c>
      <c r="C136" s="2">
        <f>+modelInfo!D8</f>
        <v>7168.0447000000004</v>
      </c>
      <c r="D136" s="2">
        <f>+modelInfo!G8 + modelInfo!$P$4</f>
        <v>349.20000000000005</v>
      </c>
      <c r="E136" t="s">
        <v>209</v>
      </c>
    </row>
    <row r="137" spans="1:5" x14ac:dyDescent="0.2">
      <c r="A137" s="1" t="s">
        <v>149</v>
      </c>
      <c r="B137" s="2">
        <f>+modelInfo!C9</f>
        <v>12418.366599999999</v>
      </c>
      <c r="C137" s="2">
        <f>+modelInfo!D9</f>
        <v>8162.5126</v>
      </c>
      <c r="D137" s="2">
        <f>+modelInfo!G9 + modelInfo!$P$4</f>
        <v>351.6</v>
      </c>
      <c r="E137" t="s">
        <v>209</v>
      </c>
    </row>
    <row r="138" spans="1:5" x14ac:dyDescent="0.2">
      <c r="A138" s="1" t="s">
        <v>150</v>
      </c>
      <c r="B138" s="2">
        <f>+modelInfo!C10</f>
        <v>11743.536</v>
      </c>
      <c r="C138" s="2">
        <f>+modelInfo!D10</f>
        <v>9518.3803000000007</v>
      </c>
      <c r="D138" s="2">
        <f>+modelInfo!G10 + modelInfo!$P$4</f>
        <v>351.6</v>
      </c>
      <c r="E138" t="s">
        <v>209</v>
      </c>
    </row>
    <row r="139" spans="1:5" x14ac:dyDescent="0.2">
      <c r="A139" s="1" t="s">
        <v>151</v>
      </c>
      <c r="B139" s="2">
        <f>+modelInfo!C11</f>
        <v>11293.729799999999</v>
      </c>
      <c r="C139" s="2">
        <f>+modelInfo!D11</f>
        <v>10440.243200000001</v>
      </c>
      <c r="D139" s="2">
        <f>+modelInfo!G11 + modelInfo!$P$4</f>
        <v>346.79999999999995</v>
      </c>
      <c r="E139" t="s">
        <v>209</v>
      </c>
    </row>
    <row r="140" spans="1:5" x14ac:dyDescent="0.2">
      <c r="A140" s="1" t="s">
        <v>152</v>
      </c>
      <c r="B140" s="2">
        <f>+modelInfo!C12</f>
        <v>10848.534600000001</v>
      </c>
      <c r="C140" s="2">
        <f>+modelInfo!D12</f>
        <v>11371.7016</v>
      </c>
      <c r="D140" s="2">
        <f>+modelInfo!G12 + modelInfo!$P$4</f>
        <v>354</v>
      </c>
      <c r="E140" t="s">
        <v>209</v>
      </c>
    </row>
    <row r="141" spans="1:5" x14ac:dyDescent="0.2">
      <c r="A141" s="1" t="s">
        <v>153</v>
      </c>
      <c r="B141" s="2">
        <f>+modelInfo!C13</f>
        <v>10416.2606</v>
      </c>
      <c r="C141" s="2">
        <f>+modelInfo!D13</f>
        <v>12298.7942</v>
      </c>
      <c r="D141" s="2">
        <f>+modelInfo!G13 + modelInfo!$P$4</f>
        <v>349.20000000000005</v>
      </c>
      <c r="E141" t="s">
        <v>209</v>
      </c>
    </row>
    <row r="142" spans="1:5" x14ac:dyDescent="0.2">
      <c r="A142" s="1" t="s">
        <v>154</v>
      </c>
      <c r="B142" s="2">
        <f>+modelInfo!C14</f>
        <v>9995.6399000000001</v>
      </c>
      <c r="C142" s="2">
        <f>+modelInfo!D14</f>
        <v>13238.549800000001</v>
      </c>
      <c r="D142" s="2">
        <f>+modelInfo!G14 + modelInfo!$P$4</f>
        <v>356.4</v>
      </c>
      <c r="E142" t="s">
        <v>209</v>
      </c>
    </row>
    <row r="143" spans="1:5" x14ac:dyDescent="0.2">
      <c r="A143" s="1" t="s">
        <v>155</v>
      </c>
      <c r="B143" s="2">
        <f>+modelInfo!C15</f>
        <v>9419.8268000000007</v>
      </c>
      <c r="C143" s="2">
        <f>+modelInfo!D15</f>
        <v>14640.3976</v>
      </c>
      <c r="D143" s="2">
        <f>+modelInfo!G15 + modelInfo!$P$4</f>
        <v>349.20000000000005</v>
      </c>
      <c r="E143" t="s">
        <v>209</v>
      </c>
    </row>
    <row r="144" spans="1:5" x14ac:dyDescent="0.2">
      <c r="A144" s="1" t="s">
        <v>156</v>
      </c>
      <c r="B144" s="2">
        <f>+modelInfo!C16</f>
        <v>9093.6429000000007</v>
      </c>
      <c r="C144" s="2">
        <f>+modelInfo!D16</f>
        <v>15514.191800000001</v>
      </c>
      <c r="D144" s="2">
        <f>+modelInfo!G16 + modelInfo!$P$4</f>
        <v>411.6</v>
      </c>
      <c r="E144" t="s">
        <v>209</v>
      </c>
    </row>
    <row r="145" spans="1:5" x14ac:dyDescent="0.2">
      <c r="A145" s="1" t="s">
        <v>157</v>
      </c>
      <c r="B145" s="2">
        <f>+modelInfo!C17</f>
        <v>8786.5195999999996</v>
      </c>
      <c r="C145" s="2">
        <f>+modelInfo!D17</f>
        <v>16390.671300000002</v>
      </c>
      <c r="D145" s="2">
        <f>+modelInfo!G17 + modelInfo!$P$4</f>
        <v>358.79999999999995</v>
      </c>
      <c r="E145" t="s">
        <v>209</v>
      </c>
    </row>
    <row r="146" spans="1:5" x14ac:dyDescent="0.2">
      <c r="A146" s="1" t="s">
        <v>158</v>
      </c>
      <c r="B146" s="2">
        <f>+modelInfo!C18</f>
        <v>8511.3863999999994</v>
      </c>
      <c r="C146" s="2">
        <f>+modelInfo!D18</f>
        <v>17281.751899999999</v>
      </c>
      <c r="D146" s="2">
        <f>+modelInfo!G18 + modelInfo!$P$4</f>
        <v>355.20000000000005</v>
      </c>
      <c r="E146" t="s">
        <v>209</v>
      </c>
    </row>
    <row r="147" spans="1:5" x14ac:dyDescent="0.2">
      <c r="A147" s="1" t="s">
        <v>159</v>
      </c>
      <c r="B147" s="2">
        <f>+modelInfo!C19</f>
        <v>8257.7464999999993</v>
      </c>
      <c r="C147" s="2">
        <f>+modelInfo!D19</f>
        <v>18179.9833</v>
      </c>
      <c r="D147" s="2">
        <f>+modelInfo!G19 + modelInfo!$P$4</f>
        <v>351.6</v>
      </c>
      <c r="E147" t="s">
        <v>209</v>
      </c>
    </row>
    <row r="148" spans="1:5" x14ac:dyDescent="0.2">
      <c r="A148" s="1" t="s">
        <v>160</v>
      </c>
      <c r="B148" s="2">
        <f>+modelInfo!C20</f>
        <v>7929.6471000000001</v>
      </c>
      <c r="C148" s="2">
        <f>+modelInfo!D20</f>
        <v>19510.650000000001</v>
      </c>
      <c r="D148" s="2">
        <f>+modelInfo!G20 + modelInfo!$P$4</f>
        <v>345.6</v>
      </c>
      <c r="E148" t="s">
        <v>209</v>
      </c>
    </row>
    <row r="149" spans="1:5" x14ac:dyDescent="0.2">
      <c r="A149" s="1" t="s">
        <v>161</v>
      </c>
      <c r="B149" s="2">
        <f>+modelInfo!C21</f>
        <v>7743.9377000000004</v>
      </c>
      <c r="C149" s="2">
        <f>+modelInfo!D21</f>
        <v>20422.172299999998</v>
      </c>
      <c r="D149" s="2">
        <f>+modelInfo!G21 + modelInfo!$P$4</f>
        <v>354</v>
      </c>
      <c r="E149" t="s">
        <v>209</v>
      </c>
    </row>
    <row r="150" spans="1:5" x14ac:dyDescent="0.2">
      <c r="A150" s="1" t="s">
        <v>162</v>
      </c>
      <c r="B150" s="2">
        <f>+modelInfo!C22</f>
        <v>7582.5762999999997</v>
      </c>
      <c r="C150" s="2">
        <f>+modelInfo!D22</f>
        <v>21332.774300000001</v>
      </c>
      <c r="D150" s="2">
        <f>+modelInfo!G22 + modelInfo!$P$4</f>
        <v>350.4</v>
      </c>
      <c r="E150" t="s">
        <v>209</v>
      </c>
    </row>
    <row r="151" spans="1:5" x14ac:dyDescent="0.2">
      <c r="A151" s="1" t="s">
        <v>163</v>
      </c>
      <c r="B151" s="2">
        <f>+modelInfo!C23</f>
        <v>7440.7723999999998</v>
      </c>
      <c r="C151" s="2">
        <f>+modelInfo!D23</f>
        <v>22382.569200000002</v>
      </c>
      <c r="D151" s="2">
        <f>+modelInfo!G23 + modelInfo!$P$4</f>
        <v>346.79999999999995</v>
      </c>
      <c r="E151" t="s">
        <v>209</v>
      </c>
    </row>
    <row r="152" spans="1:5" x14ac:dyDescent="0.2">
      <c r="A152" s="1" t="s">
        <v>164</v>
      </c>
      <c r="B152" s="2">
        <f>+modelInfo!C24</f>
        <v>7355.3967000000002</v>
      </c>
      <c r="C152" s="2">
        <f>+modelInfo!D24</f>
        <v>23160.0831</v>
      </c>
      <c r="D152" s="2">
        <f>+modelInfo!G24 + modelInfo!$P$4</f>
        <v>355.20000000000005</v>
      </c>
      <c r="E152" t="s">
        <v>209</v>
      </c>
    </row>
    <row r="153" spans="1:5" x14ac:dyDescent="0.2">
      <c r="A153" s="1" t="s">
        <v>165</v>
      </c>
      <c r="B153" s="2">
        <f>+modelInfo!C25</f>
        <v>7229.7803000000004</v>
      </c>
      <c r="C153" s="2">
        <f>+modelInfo!D25</f>
        <v>24528.586500000001</v>
      </c>
      <c r="D153" s="2">
        <f>+modelInfo!G25 + modelInfo!$P$4</f>
        <v>349.20000000000005</v>
      </c>
      <c r="E153" t="s">
        <v>209</v>
      </c>
    </row>
    <row r="154" spans="1:5" x14ac:dyDescent="0.2">
      <c r="A154" s="1" t="s">
        <v>166</v>
      </c>
      <c r="B154" s="2">
        <f>+modelInfo!C26</f>
        <v>7173.7794999999996</v>
      </c>
      <c r="C154" s="2">
        <f>+modelInfo!D26</f>
        <v>25421.793099999999</v>
      </c>
      <c r="D154" s="2">
        <f>+modelInfo!G26 + modelInfo!$P$4</f>
        <v>345.6</v>
      </c>
      <c r="E154" t="s">
        <v>209</v>
      </c>
    </row>
    <row r="155" spans="1:5" x14ac:dyDescent="0.2">
      <c r="A155" s="1" t="s">
        <v>167</v>
      </c>
      <c r="B155" s="2">
        <f>+modelInfo!C27</f>
        <v>7140.9323000000004</v>
      </c>
      <c r="C155" s="2">
        <f>+modelInfo!D27</f>
        <v>26315.517400000001</v>
      </c>
      <c r="D155" s="2">
        <f>+modelInfo!G27 + modelInfo!$P$4</f>
        <v>342</v>
      </c>
      <c r="E155" t="s">
        <v>209</v>
      </c>
    </row>
    <row r="156" spans="1:5" x14ac:dyDescent="0.2">
      <c r="A156" s="1" t="s">
        <v>168</v>
      </c>
      <c r="B156" s="2">
        <f>+modelInfo!C28</f>
        <v>7112.1720999999998</v>
      </c>
      <c r="C156" s="2">
        <f>+modelInfo!D28</f>
        <v>27207.753700000001</v>
      </c>
      <c r="D156" s="2">
        <f>+modelInfo!G28 + modelInfo!$P$4</f>
        <v>350.4</v>
      </c>
      <c r="E156" t="s">
        <v>209</v>
      </c>
    </row>
    <row r="157" spans="1:5" x14ac:dyDescent="0.2">
      <c r="A157" s="1" t="s">
        <v>169</v>
      </c>
      <c r="B157" s="2">
        <f>+modelInfo!C29</f>
        <v>7089.1617999999999</v>
      </c>
      <c r="C157" s="2">
        <f>+modelInfo!D29</f>
        <v>28097.487099999998</v>
      </c>
      <c r="D157" s="2">
        <f>+modelInfo!G29 + modelInfo!$P$4</f>
        <v>346.79999999999995</v>
      </c>
      <c r="E157" t="s">
        <v>209</v>
      </c>
    </row>
    <row r="158" spans="1:5" x14ac:dyDescent="0.2">
      <c r="A158" s="1" t="s">
        <v>170</v>
      </c>
      <c r="B158" s="2">
        <f>+modelInfo!C30</f>
        <v>7077.9198999999999</v>
      </c>
      <c r="C158" s="2">
        <f>+modelInfo!D30</f>
        <v>29615.037899999999</v>
      </c>
      <c r="D158" s="2">
        <f>+modelInfo!G30 + modelInfo!$P$4</f>
        <v>340.79999999999995</v>
      </c>
      <c r="E158" t="s">
        <v>209</v>
      </c>
    </row>
    <row r="159" spans="1:5" x14ac:dyDescent="0.2">
      <c r="A159" s="1" t="s">
        <v>171</v>
      </c>
      <c r="B159" s="2">
        <f>+modelInfo!C31</f>
        <v>7075.7464</v>
      </c>
      <c r="C159" s="2">
        <f>+modelInfo!D31</f>
        <v>30705.7196</v>
      </c>
      <c r="D159" s="2">
        <f>+modelInfo!G31 + modelInfo!$P$4</f>
        <v>336</v>
      </c>
      <c r="E159" t="s">
        <v>209</v>
      </c>
    </row>
    <row r="160" spans="1:5" x14ac:dyDescent="0.2">
      <c r="A160" s="1" t="s">
        <v>172</v>
      </c>
      <c r="B160" s="2">
        <f>+modelInfo!C32</f>
        <v>7074.2871999999998</v>
      </c>
      <c r="C160" s="2">
        <f>+modelInfo!D32</f>
        <v>31797.8269</v>
      </c>
      <c r="D160" s="2">
        <f>+modelInfo!G32 + modelInfo!$P$4</f>
        <v>331.20000000000005</v>
      </c>
      <c r="E160" t="s">
        <v>209</v>
      </c>
    </row>
    <row r="161" spans="1:5" x14ac:dyDescent="0.2">
      <c r="A161" s="1" t="s">
        <v>173</v>
      </c>
      <c r="B161" s="2">
        <f>+modelInfo!C33</f>
        <v>7073.3473999999997</v>
      </c>
      <c r="C161" s="2">
        <f>+modelInfo!D33</f>
        <v>32898.2019</v>
      </c>
      <c r="D161" s="2">
        <f>+modelInfo!G33 + modelInfo!$P$4</f>
        <v>327.60000000000002</v>
      </c>
      <c r="E161" t="s">
        <v>209</v>
      </c>
    </row>
    <row r="162" spans="1:5" x14ac:dyDescent="0.2">
      <c r="A162" s="1" t="s">
        <v>174</v>
      </c>
      <c r="B162" s="2">
        <f>+modelInfo!C34</f>
        <v>7072.2825999999995</v>
      </c>
      <c r="C162" s="2">
        <f>+modelInfo!D34</f>
        <v>34257.8825</v>
      </c>
      <c r="D162" s="2">
        <f>+modelInfo!G34 + modelInfo!$P$4</f>
        <v>333.6</v>
      </c>
      <c r="E162" t="s">
        <v>209</v>
      </c>
    </row>
    <row r="163" spans="1:5" x14ac:dyDescent="0.2">
      <c r="A163" s="1" t="s">
        <v>175</v>
      </c>
      <c r="B163" s="2">
        <f>+modelInfo!C35</f>
        <v>7071.4062999999996</v>
      </c>
      <c r="C163" s="2">
        <f>+modelInfo!D35</f>
        <v>35150.5942</v>
      </c>
      <c r="D163" s="2">
        <f>+modelInfo!G35 + modelInfo!$P$4</f>
        <v>330</v>
      </c>
      <c r="E163" t="s">
        <v>209</v>
      </c>
    </row>
    <row r="164" spans="1:5" x14ac:dyDescent="0.2">
      <c r="A164" s="1" t="s">
        <v>176</v>
      </c>
      <c r="B164" s="2">
        <f>+modelInfo!C36</f>
        <v>7070.4488000000001</v>
      </c>
      <c r="C164" s="2">
        <f>+modelInfo!D36</f>
        <v>36041.289900000003</v>
      </c>
      <c r="D164" s="2">
        <f>+modelInfo!G36 + modelInfo!$P$4</f>
        <v>326.39999999999998</v>
      </c>
      <c r="E164" t="s">
        <v>209</v>
      </c>
    </row>
    <row r="165" spans="1:5" x14ac:dyDescent="0.2">
      <c r="A165" s="1" t="s">
        <v>177</v>
      </c>
      <c r="B165" s="2">
        <f>+modelInfo!C37</f>
        <v>7069.3675000000003</v>
      </c>
      <c r="C165" s="2">
        <f>+modelInfo!D37</f>
        <v>37043.678500000002</v>
      </c>
      <c r="D165" s="2">
        <f>+modelInfo!G37 + modelInfo!$P$4</f>
        <v>334.79999999999995</v>
      </c>
      <c r="E165" t="s">
        <v>209</v>
      </c>
    </row>
    <row r="166" spans="1:5" x14ac:dyDescent="0.2">
      <c r="A166" s="1" t="s">
        <v>178</v>
      </c>
      <c r="B166" s="2">
        <f>+modelInfo!C38</f>
        <v>7068.1661999999997</v>
      </c>
      <c r="C166" s="2">
        <f>+modelInfo!D38</f>
        <v>38302.8249</v>
      </c>
      <c r="D166" s="2">
        <f>+modelInfo!G38 + modelInfo!$P$4</f>
        <v>328.79999999999995</v>
      </c>
      <c r="E166" t="s">
        <v>209</v>
      </c>
    </row>
    <row r="167" spans="1:5" x14ac:dyDescent="0.2">
      <c r="A167" s="1" t="s">
        <v>179</v>
      </c>
      <c r="B167" s="2">
        <f>+modelInfo!C39</f>
        <v>7067.5573999999997</v>
      </c>
      <c r="C167" s="2">
        <f>+modelInfo!D39</f>
        <v>39148.885000000002</v>
      </c>
      <c r="D167" s="2">
        <f>+modelInfo!G39 + modelInfo!$P$4</f>
        <v>337.20000000000005</v>
      </c>
      <c r="E167" t="s">
        <v>209</v>
      </c>
    </row>
    <row r="168" spans="1:5" x14ac:dyDescent="0.2">
      <c r="A168" s="1" t="s">
        <v>180</v>
      </c>
      <c r="B168" s="2">
        <f>+modelInfo!C40</f>
        <v>7067.1833999999999</v>
      </c>
      <c r="C168" s="2">
        <f>+modelInfo!D40</f>
        <v>39998.393900000003</v>
      </c>
      <c r="D168" s="2">
        <f>+modelInfo!G40 + modelInfo!$P$4</f>
        <v>334.79999999999995</v>
      </c>
      <c r="E168" t="s">
        <v>209</v>
      </c>
    </row>
    <row r="169" spans="1:5" x14ac:dyDescent="0.2">
      <c r="A169" s="1" t="s">
        <v>181</v>
      </c>
      <c r="B169" s="2">
        <f>+modelInfo!C41</f>
        <v>7067.1095999999998</v>
      </c>
      <c r="C169" s="2">
        <f>+modelInfo!D41</f>
        <v>40844.719599999997</v>
      </c>
      <c r="D169" s="2">
        <f>+modelInfo!G41 + modelInfo!$P$4</f>
        <v>344.4</v>
      </c>
      <c r="E169" t="s">
        <v>209</v>
      </c>
    </row>
    <row r="170" spans="1:5" x14ac:dyDescent="0.2">
      <c r="A170" s="1" t="s">
        <v>182</v>
      </c>
      <c r="B170" s="2">
        <f>+modelInfo!C42</f>
        <v>7067.6234999999997</v>
      </c>
      <c r="C170" s="2">
        <f>+modelInfo!D42</f>
        <v>42207.787400000001</v>
      </c>
      <c r="D170" s="2">
        <f>+modelInfo!G42 + modelInfo!$P$4</f>
        <v>343.20000000000005</v>
      </c>
      <c r="E170" t="s">
        <v>209</v>
      </c>
    </row>
    <row r="171" spans="1:5" x14ac:dyDescent="0.2">
      <c r="A171" s="1" t="s">
        <v>183</v>
      </c>
      <c r="B171" s="2">
        <f>+modelInfo!C43</f>
        <v>7068.2584999999999</v>
      </c>
      <c r="C171" s="2">
        <f>+modelInfo!D43</f>
        <v>43020.639199999998</v>
      </c>
      <c r="D171" s="2">
        <f>+modelInfo!G43 + modelInfo!$P$4</f>
        <v>345.6</v>
      </c>
      <c r="E171" t="s">
        <v>209</v>
      </c>
    </row>
    <row r="172" spans="1:5" x14ac:dyDescent="0.2">
      <c r="A172" s="1" t="s">
        <v>184</v>
      </c>
      <c r="B172" s="2">
        <f>+modelInfo!C44</f>
        <v>7069.0995000000003</v>
      </c>
      <c r="C172" s="2">
        <f>+modelInfo!D44</f>
        <v>43827.8073</v>
      </c>
      <c r="D172" s="2">
        <f>+modelInfo!G44 + modelInfo!$P$4</f>
        <v>336</v>
      </c>
      <c r="E172" t="s">
        <v>209</v>
      </c>
    </row>
    <row r="173" spans="1:5" x14ac:dyDescent="0.2">
      <c r="A173" s="1" t="s">
        <v>185</v>
      </c>
      <c r="B173" s="2">
        <f>+modelInfo!C45</f>
        <v>7070.1307999999999</v>
      </c>
      <c r="C173" s="2">
        <f>+modelInfo!D45</f>
        <v>44639.664900000003</v>
      </c>
      <c r="D173" s="2">
        <f>+modelInfo!G45 + modelInfo!$P$4</f>
        <v>340.79999999999995</v>
      </c>
      <c r="E173" t="s">
        <v>209</v>
      </c>
    </row>
    <row r="174" spans="1:5" x14ac:dyDescent="0.2">
      <c r="A174" s="1" t="s">
        <v>186</v>
      </c>
      <c r="B174" s="2">
        <f>+modelInfo!C46</f>
        <v>7072.2025000000003</v>
      </c>
      <c r="C174" s="2">
        <f>+modelInfo!D46</f>
        <v>45999.938499999997</v>
      </c>
      <c r="D174" s="2">
        <f>+modelInfo!G46 + modelInfo!$P$4</f>
        <v>340.79999999999995</v>
      </c>
      <c r="E174" t="s">
        <v>209</v>
      </c>
    </row>
    <row r="175" spans="1:5" x14ac:dyDescent="0.2">
      <c r="A175" s="1" t="s">
        <v>187</v>
      </c>
      <c r="B175" s="2">
        <f>+modelInfo!C47</f>
        <v>7073.634</v>
      </c>
      <c r="C175" s="2">
        <f>+modelInfo!D47</f>
        <v>46830.446300000003</v>
      </c>
      <c r="D175" s="2">
        <f>+modelInfo!G47 + modelInfo!$P$4</f>
        <v>336</v>
      </c>
      <c r="E175" t="s">
        <v>209</v>
      </c>
    </row>
    <row r="176" spans="1:5" x14ac:dyDescent="0.2">
      <c r="A176" s="1" t="s">
        <v>188</v>
      </c>
      <c r="B176" s="2">
        <f>+modelInfo!C48</f>
        <v>7075.1619000000001</v>
      </c>
      <c r="C176" s="2">
        <f>+modelInfo!D48</f>
        <v>47663.3433</v>
      </c>
      <c r="D176" s="2">
        <f>+modelInfo!G48 + modelInfo!$P$4</f>
        <v>332.4</v>
      </c>
      <c r="E176" t="s">
        <v>209</v>
      </c>
    </row>
    <row r="177" spans="1:5" x14ac:dyDescent="0.2">
      <c r="A177" s="1" t="s">
        <v>189</v>
      </c>
      <c r="B177" s="2">
        <f>+modelInfo!C49</f>
        <v>7076.7437</v>
      </c>
      <c r="C177" s="2">
        <f>+modelInfo!D49</f>
        <v>48491.147499999999</v>
      </c>
      <c r="D177" s="2">
        <f>+modelInfo!G49 + modelInfo!$P$4</f>
        <v>339.6</v>
      </c>
      <c r="E177" t="s">
        <v>209</v>
      </c>
    </row>
    <row r="178" spans="1:5" x14ac:dyDescent="0.2">
      <c r="A178" s="1" t="s">
        <v>190</v>
      </c>
      <c r="B178" s="2">
        <f>+modelInfo!C50</f>
        <v>7079.4229999999998</v>
      </c>
      <c r="C178" s="2">
        <f>+modelInfo!D50</f>
        <v>49860.215499999998</v>
      </c>
      <c r="D178" s="2">
        <f>+modelInfo!G50 + modelInfo!$P$4</f>
        <v>352.79999999999995</v>
      </c>
      <c r="E178" t="s">
        <v>209</v>
      </c>
    </row>
    <row r="179" spans="1:5" x14ac:dyDescent="0.2">
      <c r="A179" s="1" t="s">
        <v>191</v>
      </c>
      <c r="B179" s="2">
        <f>+modelInfo!C51</f>
        <v>7081.5583999999999</v>
      </c>
      <c r="C179" s="2">
        <f>+modelInfo!D51</f>
        <v>50959.929799999998</v>
      </c>
      <c r="D179" s="2">
        <f>+modelInfo!G51 + modelInfo!$P$4</f>
        <v>351.6</v>
      </c>
      <c r="E179" t="s">
        <v>209</v>
      </c>
    </row>
    <row r="180" spans="1:5" x14ac:dyDescent="0.2">
      <c r="A180" s="1" t="s">
        <v>192</v>
      </c>
      <c r="B180" s="2">
        <f>+modelInfo!C52</f>
        <v>7083.5851000000002</v>
      </c>
      <c r="C180" s="2">
        <f>+modelInfo!D52</f>
        <v>52047.267599999999</v>
      </c>
      <c r="D180" s="2">
        <f>+modelInfo!G52 + modelInfo!$P$4</f>
        <v>350.4</v>
      </c>
      <c r="E180" t="s">
        <v>209</v>
      </c>
    </row>
    <row r="181" spans="1:5" x14ac:dyDescent="0.2">
      <c r="A181" s="1" t="s">
        <v>193</v>
      </c>
      <c r="B181" s="2">
        <f>+modelInfo!C53</f>
        <v>7085.4818999999998</v>
      </c>
      <c r="C181" s="2">
        <f>+modelInfo!D53</f>
        <v>53145.681600000004</v>
      </c>
      <c r="D181" s="2">
        <f>+modelInfo!G53 + modelInfo!$P$4</f>
        <v>348</v>
      </c>
      <c r="E181" t="s">
        <v>209</v>
      </c>
    </row>
    <row r="182" spans="1:5" x14ac:dyDescent="0.2">
      <c r="A182" s="1" t="s">
        <v>194</v>
      </c>
      <c r="B182" s="2">
        <f>+modelInfo!C54</f>
        <v>7087.4763000000003</v>
      </c>
      <c r="C182" s="2">
        <f>+modelInfo!D54</f>
        <v>54508.645299999996</v>
      </c>
      <c r="D182" s="2">
        <f>+modelInfo!G54 + modelInfo!$P$4</f>
        <v>349.20000000000005</v>
      </c>
      <c r="E182" t="s">
        <v>209</v>
      </c>
    </row>
    <row r="183" spans="1:5" x14ac:dyDescent="0.2">
      <c r="A183" s="1" t="s">
        <v>195</v>
      </c>
      <c r="B183" s="2">
        <f>+modelInfo!C55</f>
        <v>7088.4461000000001</v>
      </c>
      <c r="C183" s="2">
        <f>+modelInfo!D55</f>
        <v>55417.222099999999</v>
      </c>
      <c r="D183" s="2">
        <f>+modelInfo!G55 + modelInfo!$P$4</f>
        <v>357.6</v>
      </c>
      <c r="E183" t="s">
        <v>209</v>
      </c>
    </row>
    <row r="184" spans="1:5" x14ac:dyDescent="0.2">
      <c r="A184" s="1" t="s">
        <v>196</v>
      </c>
      <c r="B184" s="2">
        <f>+modelInfo!C56</f>
        <v>7089.0217000000002</v>
      </c>
      <c r="C184" s="2">
        <f>+modelInfo!D56</f>
        <v>56334.352299999999</v>
      </c>
      <c r="D184" s="2">
        <f>+modelInfo!G56 + modelInfo!$P$4</f>
        <v>354</v>
      </c>
      <c r="E184" t="s">
        <v>209</v>
      </c>
    </row>
    <row r="185" spans="1:5" x14ac:dyDescent="0.2">
      <c r="A185" s="1" t="s">
        <v>197</v>
      </c>
      <c r="B185" s="2">
        <f>+modelInfo!C57</f>
        <v>7089.0969999999998</v>
      </c>
      <c r="C185" s="2">
        <f>+modelInfo!D57</f>
        <v>57246.363100000002</v>
      </c>
      <c r="D185" s="2">
        <f>+modelInfo!G57 + modelInfo!$P$4</f>
        <v>363.6</v>
      </c>
      <c r="E185" t="s">
        <v>209</v>
      </c>
    </row>
    <row r="186" spans="1:5" x14ac:dyDescent="0.2">
      <c r="A186" s="1" t="s">
        <v>198</v>
      </c>
      <c r="B186" s="2">
        <f>+modelInfo!C58</f>
        <v>7088.5864000000001</v>
      </c>
      <c r="C186" s="2">
        <f>+modelInfo!D58</f>
        <v>58152.974699999999</v>
      </c>
      <c r="D186" s="2">
        <f>+modelInfo!G58 + modelInfo!$P$4</f>
        <v>372</v>
      </c>
      <c r="E186" t="s">
        <v>209</v>
      </c>
    </row>
    <row r="187" spans="1:5" x14ac:dyDescent="0.2">
      <c r="A187" s="1" t="s">
        <v>199</v>
      </c>
      <c r="B187" s="2">
        <f>+modelInfo!C59</f>
        <v>7086.5002000000004</v>
      </c>
      <c r="C187" s="2">
        <f>+modelInfo!D59</f>
        <v>59523.511500000001</v>
      </c>
      <c r="D187" s="2">
        <f>+modelInfo!G59 + modelInfo!$P$4</f>
        <v>384</v>
      </c>
      <c r="E187" t="s">
        <v>209</v>
      </c>
    </row>
    <row r="188" spans="1:5" x14ac:dyDescent="0.2">
      <c r="A188" s="1" t="s">
        <v>200</v>
      </c>
      <c r="B188" s="2">
        <f>+modelInfo!C60</f>
        <v>7084.3401999999996</v>
      </c>
      <c r="C188" s="2">
        <f>+modelInfo!D60</f>
        <v>60429.571199999998</v>
      </c>
      <c r="D188" s="2">
        <f>+modelInfo!G60 + modelInfo!$P$4</f>
        <v>399.6</v>
      </c>
      <c r="E188" t="s">
        <v>209</v>
      </c>
    </row>
    <row r="189" spans="1:5" x14ac:dyDescent="0.2">
      <c r="A189" s="1" t="s">
        <v>201</v>
      </c>
      <c r="B189" s="2">
        <f>+modelInfo!C61</f>
        <v>7082.1512000000002</v>
      </c>
      <c r="C189" s="2">
        <f>+modelInfo!D61</f>
        <v>61345.7765</v>
      </c>
      <c r="D189" s="2">
        <f>+modelInfo!G61 + modelInfo!$P$4</f>
        <v>412.79999999999995</v>
      </c>
      <c r="E189" t="s">
        <v>209</v>
      </c>
    </row>
    <row r="190" spans="1:5" x14ac:dyDescent="0.2">
      <c r="A190" s="1" t="s">
        <v>202</v>
      </c>
      <c r="B190" s="2">
        <f>+modelInfo!C62</f>
        <v>7080.6212999999998</v>
      </c>
      <c r="C190" s="2">
        <f>+modelInfo!D62</f>
        <v>62257.951500000003</v>
      </c>
      <c r="D190" s="2">
        <f>+modelInfo!G62 + modelInfo!$P$4</f>
        <v>422.4</v>
      </c>
      <c r="E190" t="s">
        <v>209</v>
      </c>
    </row>
    <row r="191" spans="1:5" x14ac:dyDescent="0.2">
      <c r="A191" s="1" t="s">
        <v>203</v>
      </c>
      <c r="B191" s="2">
        <f>+modelInfo!C63</f>
        <v>7080.3845000000001</v>
      </c>
      <c r="C191" s="2">
        <f>+modelInfo!D63</f>
        <v>63156.636599999998</v>
      </c>
      <c r="D191" s="2">
        <f>+modelInfo!G63 + modelInfo!$P$4</f>
        <v>427.20000000000005</v>
      </c>
      <c r="E191" t="s">
        <v>209</v>
      </c>
    </row>
    <row r="192" spans="1:5" x14ac:dyDescent="0.2">
      <c r="A192" s="1" t="s">
        <v>204</v>
      </c>
      <c r="B192" s="2">
        <f>+modelInfo!C64</f>
        <v>7083.8936000000003</v>
      </c>
      <c r="C192" s="2">
        <f>+modelInfo!D64</f>
        <v>64532.043400000002</v>
      </c>
      <c r="D192" s="2">
        <f>+modelInfo!G64 + modelInfo!$P$4</f>
        <v>410.4</v>
      </c>
      <c r="E192" t="s">
        <v>209</v>
      </c>
    </row>
    <row r="193" spans="1:5" x14ac:dyDescent="0.2">
      <c r="A193" s="1" t="s">
        <v>205</v>
      </c>
      <c r="B193" s="2">
        <f>+modelInfo!C65</f>
        <v>7089.1617999999999</v>
      </c>
      <c r="C193" s="2">
        <f>+modelInfo!D65</f>
        <v>65370.7952</v>
      </c>
      <c r="D193" s="2">
        <f>+modelInfo!G65 + modelInfo!$P$4</f>
        <v>397.20000000000005</v>
      </c>
      <c r="E193" t="s">
        <v>209</v>
      </c>
    </row>
    <row r="194" spans="1:5" x14ac:dyDescent="0.2">
      <c r="A194" s="1" t="s">
        <v>206</v>
      </c>
      <c r="B194" s="2">
        <f>+modelInfo!C66</f>
        <v>7097.3450999999995</v>
      </c>
      <c r="C194" s="2">
        <f>+modelInfo!D66</f>
        <v>66203.498900000006</v>
      </c>
      <c r="D194" s="2">
        <f>+modelInfo!G66 + modelInfo!$P$4</f>
        <v>379.20000000000005</v>
      </c>
      <c r="E194" t="s">
        <v>209</v>
      </c>
    </row>
    <row r="195" spans="1:5" x14ac:dyDescent="0.2">
      <c r="A195" s="1" t="s">
        <v>207</v>
      </c>
      <c r="B195" s="2">
        <f>+modelInfo!C67</f>
        <v>7106.7071999999998</v>
      </c>
      <c r="C195" s="2">
        <f>+modelInfo!D67</f>
        <v>66893.224900000001</v>
      </c>
      <c r="D195" s="2">
        <f>+modelInfo!G67 + modelInfo!$P$4</f>
        <v>379.20000000000005</v>
      </c>
      <c r="E195" t="s">
        <v>209</v>
      </c>
    </row>
    <row r="196" spans="1:5" x14ac:dyDescent="0.2">
      <c r="A196" s="1" t="s">
        <v>208</v>
      </c>
      <c r="B196" s="2">
        <f>+modelInfo!C68</f>
        <v>7136.8689000000004</v>
      </c>
      <c r="C196" s="2">
        <f>+modelInfo!D68</f>
        <v>68405.054000000004</v>
      </c>
      <c r="D196" s="2">
        <f>+modelInfo!G68 + modelInfo!$P$4</f>
        <v>379.20000000000005</v>
      </c>
      <c r="E196" t="s">
        <v>209</v>
      </c>
    </row>
    <row r="197" spans="1:5" x14ac:dyDescent="0.2">
      <c r="A197" s="1" t="s">
        <v>214</v>
      </c>
      <c r="B197" s="2">
        <f>+modelInfo!C4-modelInfo!I4*COS(modelInfo!H4)*12</f>
        <v>14892.727888458328</v>
      </c>
      <c r="C197" s="2">
        <f>+modelInfo!D4+modelInfo!I4*SIN(modelInfo!H4)*12</f>
        <v>2299.7007034736707</v>
      </c>
      <c r="D197" s="2">
        <f>+modelInfo!G4 + modelInfo!$P$4</f>
        <v>348</v>
      </c>
      <c r="E197" t="s">
        <v>279</v>
      </c>
    </row>
    <row r="198" spans="1:5" x14ac:dyDescent="0.2">
      <c r="A198" s="1" t="s">
        <v>215</v>
      </c>
      <c r="B198" s="2">
        <f>+modelInfo!C5-modelInfo!I5*COS(modelInfo!H5)*12</f>
        <v>14217.204303193686</v>
      </c>
      <c r="C198" s="2">
        <f>+modelInfo!D5+modelInfo!I5*SIN(modelInfo!H5)*12</f>
        <v>4116.7572660765627</v>
      </c>
      <c r="D198" s="2">
        <f>+modelInfo!G5 + modelInfo!$P$4</f>
        <v>352.79999999999995</v>
      </c>
      <c r="E198" t="s">
        <v>279</v>
      </c>
    </row>
    <row r="199" spans="1:5" x14ac:dyDescent="0.2">
      <c r="A199" s="1" t="s">
        <v>216</v>
      </c>
      <c r="B199" s="2">
        <f>+modelInfo!C6-modelInfo!I6*COS(modelInfo!H6)*12</f>
        <v>13781.410888656334</v>
      </c>
      <c r="C199" s="2">
        <f>+modelInfo!D6+modelInfo!I6*SIN(modelInfo!H6)*12</f>
        <v>5124.7118226863568</v>
      </c>
      <c r="D199" s="2">
        <f>+modelInfo!G6 + modelInfo!$P$4</f>
        <v>352.79999999999995</v>
      </c>
      <c r="E199" t="s">
        <v>279</v>
      </c>
    </row>
    <row r="200" spans="1:5" x14ac:dyDescent="0.2">
      <c r="A200" s="1" t="s">
        <v>217</v>
      </c>
      <c r="B200" s="2">
        <f>+modelInfo!C7-modelInfo!I7*COS(modelInfo!H7)*12</f>
        <v>13312.315034555531</v>
      </c>
      <c r="C200" s="2">
        <f>+modelInfo!D7+modelInfo!I7*SIN(modelInfo!H7)*12</f>
        <v>6132.9985278331469</v>
      </c>
      <c r="D200" s="2">
        <f>+modelInfo!G7 + modelInfo!$P$4</f>
        <v>352.79999999999995</v>
      </c>
      <c r="E200" t="s">
        <v>279</v>
      </c>
    </row>
    <row r="201" spans="1:5" x14ac:dyDescent="0.2">
      <c r="A201" s="1" t="s">
        <v>218</v>
      </c>
      <c r="B201" s="2">
        <f>+modelInfo!C8-modelInfo!I8*COS(modelInfo!H8)*12</f>
        <v>12832.192359687766</v>
      </c>
      <c r="C201" s="2">
        <f>+modelInfo!D8+modelInfo!I8*SIN(modelInfo!H8)*12</f>
        <v>7127.2488531224744</v>
      </c>
      <c r="D201" s="2">
        <f>+modelInfo!G8 + modelInfo!$P$4</f>
        <v>349.20000000000005</v>
      </c>
      <c r="E201" t="s">
        <v>279</v>
      </c>
    </row>
    <row r="202" spans="1:5" x14ac:dyDescent="0.2">
      <c r="A202" s="1" t="s">
        <v>219</v>
      </c>
      <c r="B202" s="2">
        <f>+modelInfo!C9-modelInfo!I9*COS(modelInfo!H9)*12</f>
        <v>12337.848238792065</v>
      </c>
      <c r="C202" s="2">
        <f>+modelInfo!D9+modelInfo!I9*SIN(modelInfo!H9)*12</f>
        <v>8122.4377062585481</v>
      </c>
      <c r="D202" s="2">
        <f>+modelInfo!G9 + modelInfo!$P$4</f>
        <v>351.6</v>
      </c>
      <c r="E202" t="s">
        <v>279</v>
      </c>
    </row>
    <row r="203" spans="1:5" x14ac:dyDescent="0.2">
      <c r="A203" s="1" t="s">
        <v>220</v>
      </c>
      <c r="B203" s="2">
        <f>+modelInfo!C10-modelInfo!I10*COS(modelInfo!H10)*12</f>
        <v>11662.230282149038</v>
      </c>
      <c r="C203" s="2">
        <f>+modelInfo!D10+modelInfo!I10*SIN(modelInfo!H10)*12</f>
        <v>9478.70865686867</v>
      </c>
      <c r="D203" s="2">
        <f>+modelInfo!G10 + modelInfo!$P$4</f>
        <v>351.6</v>
      </c>
      <c r="E203" t="s">
        <v>279</v>
      </c>
    </row>
    <row r="204" spans="1:5" x14ac:dyDescent="0.2">
      <c r="A204" s="1" t="s">
        <v>221</v>
      </c>
      <c r="B204" s="2">
        <f>+modelInfo!C11-modelInfo!I11*COS(modelInfo!H11)*12</f>
        <v>11211.001462401293</v>
      </c>
      <c r="C204" s="2">
        <f>+modelInfo!D11+modelInfo!I11*SIN(modelInfo!H11)*12</f>
        <v>10400.702777364999</v>
      </c>
      <c r="D204" s="2">
        <f>+modelInfo!G11 + modelInfo!$P$4</f>
        <v>346.79999999999995</v>
      </c>
      <c r="E204" t="s">
        <v>279</v>
      </c>
    </row>
    <row r="205" spans="1:5" x14ac:dyDescent="0.2">
      <c r="A205" s="1" t="s">
        <v>222</v>
      </c>
      <c r="B205" s="2">
        <f>+modelInfo!C12-modelInfo!I12*COS(modelInfo!H12)*12</f>
        <v>10763.942185023712</v>
      </c>
      <c r="C205" s="2">
        <f>+modelInfo!D12+modelInfo!I12*SIN(modelInfo!H12)*12</f>
        <v>11332.25882848887</v>
      </c>
      <c r="D205" s="2">
        <f>+modelInfo!G12 + modelInfo!$P$4</f>
        <v>354</v>
      </c>
      <c r="E205" t="s">
        <v>279</v>
      </c>
    </row>
    <row r="206" spans="1:5" x14ac:dyDescent="0.2">
      <c r="A206" s="1" t="s">
        <v>223</v>
      </c>
      <c r="B206" s="2">
        <f>+modelInfo!C13-modelInfo!I13*COS(modelInfo!H13)*12</f>
        <v>10329.436694098702</v>
      </c>
      <c r="C206" s="2">
        <f>+modelInfo!D13+modelInfo!I13*SIN(modelInfo!H13)*12</f>
        <v>12259.93310454397</v>
      </c>
      <c r="D206" s="2">
        <f>+modelInfo!G13 + modelInfo!$P$4</f>
        <v>349.20000000000005</v>
      </c>
      <c r="E206" t="s">
        <v>279</v>
      </c>
    </row>
    <row r="207" spans="1:5" x14ac:dyDescent="0.2">
      <c r="A207" s="1" t="s">
        <v>224</v>
      </c>
      <c r="B207" s="2">
        <f>+modelInfo!C14-modelInfo!I14*COS(modelInfo!H14)*12</f>
        <v>9906.0954978364643</v>
      </c>
      <c r="C207" s="2">
        <f>+modelInfo!D14+modelInfo!I14*SIN(modelInfo!H14)*12</f>
        <v>13201.769173888213</v>
      </c>
      <c r="D207" s="2">
        <f>+modelInfo!G14 + modelInfo!$P$4</f>
        <v>356.4</v>
      </c>
      <c r="E207" t="s">
        <v>279</v>
      </c>
    </row>
    <row r="208" spans="1:5" x14ac:dyDescent="0.2">
      <c r="A208" s="1" t="s">
        <v>225</v>
      </c>
      <c r="B208" s="2">
        <f>+modelInfo!C15-modelInfo!I15*COS(modelInfo!H15)*12</f>
        <v>9327.5392878853618</v>
      </c>
      <c r="C208" s="2">
        <f>+modelInfo!D15+modelInfo!I15*SIN(modelInfo!H15)*12</f>
        <v>14605.947038731854</v>
      </c>
      <c r="D208" s="2">
        <f>+modelInfo!G15 + modelInfo!$P$4</f>
        <v>349.20000000000005</v>
      </c>
      <c r="E208" t="s">
        <v>279</v>
      </c>
    </row>
    <row r="209" spans="1:5" x14ac:dyDescent="0.2">
      <c r="A209" s="1" t="s">
        <v>226</v>
      </c>
      <c r="B209" s="2">
        <f>+modelInfo!C16-modelInfo!I16*COS(modelInfo!H16)*12</f>
        <v>9000.4505660967625</v>
      </c>
      <c r="C209" s="2">
        <f>+modelInfo!D16+modelInfo!I16*SIN(modelInfo!H16)*12</f>
        <v>15481.536686990439</v>
      </c>
      <c r="D209" s="2">
        <f>+modelInfo!G16 + modelInfo!$P$4</f>
        <v>411.6</v>
      </c>
      <c r="E209" t="s">
        <v>279</v>
      </c>
    </row>
    <row r="210" spans="1:5" x14ac:dyDescent="0.2">
      <c r="A210" s="1" t="s">
        <v>227</v>
      </c>
      <c r="B210" s="2">
        <f>+modelInfo!C17-modelInfo!I17*COS(modelInfo!H17)*12</f>
        <v>8685.4477778645905</v>
      </c>
      <c r="C210" s="2">
        <f>+modelInfo!D17+modelInfo!I17*SIN(modelInfo!H17)*12</f>
        <v>16359.464006457816</v>
      </c>
      <c r="D210" s="2">
        <f>+modelInfo!G17 + modelInfo!$P$4</f>
        <v>358.79999999999995</v>
      </c>
      <c r="E210" t="s">
        <v>279</v>
      </c>
    </row>
    <row r="211" spans="1:5" x14ac:dyDescent="0.2">
      <c r="A211" s="1" t="s">
        <v>228</v>
      </c>
      <c r="B211" s="2">
        <f>+modelInfo!C18-modelInfo!I18*COS(modelInfo!H18)*12</f>
        <v>8417.3130294572238</v>
      </c>
      <c r="C211" s="2">
        <f>+modelInfo!D18+modelInfo!I18*SIN(modelInfo!H18)*12</f>
        <v>17255.187742593418</v>
      </c>
      <c r="D211" s="2">
        <f>+modelInfo!G18 + modelInfo!$P$4</f>
        <v>355.20000000000005</v>
      </c>
      <c r="E211" t="s">
        <v>279</v>
      </c>
    </row>
    <row r="212" spans="1:5" x14ac:dyDescent="0.2">
      <c r="A212" s="1" t="s">
        <v>229</v>
      </c>
      <c r="B212" s="2">
        <f>+modelInfo!C19-modelInfo!I19*COS(modelInfo!H19)*12</f>
        <v>8163.3845763031668</v>
      </c>
      <c r="C212" s="2">
        <f>+modelInfo!D19+modelInfo!I19*SIN(modelInfo!H19)*12</f>
        <v>18156.716699469773</v>
      </c>
      <c r="D212" s="2">
        <f>+modelInfo!G19 + modelInfo!$P$4</f>
        <v>351.6</v>
      </c>
      <c r="E212" t="s">
        <v>279</v>
      </c>
    </row>
    <row r="213" spans="1:5" x14ac:dyDescent="0.2">
      <c r="A213" s="1" t="s">
        <v>230</v>
      </c>
      <c r="B213" s="2">
        <f>+modelInfo!C20-modelInfo!I20*COS(modelInfo!H20)*12</f>
        <v>7835.3561248640808</v>
      </c>
      <c r="C213" s="2">
        <f>+modelInfo!D20+modelInfo!I20*SIN(modelInfo!H20)*12</f>
        <v>19491.439586367876</v>
      </c>
      <c r="D213" s="2">
        <f>+modelInfo!G20 + modelInfo!$P$4</f>
        <v>345.6</v>
      </c>
      <c r="E213" t="s">
        <v>279</v>
      </c>
    </row>
    <row r="214" spans="1:5" x14ac:dyDescent="0.2">
      <c r="A214" s="1" t="s">
        <v>231</v>
      </c>
      <c r="B214" s="2">
        <f>+modelInfo!C21-modelInfo!I21*COS(modelInfo!H21)*12</f>
        <v>7649.9302510971584</v>
      </c>
      <c r="C214" s="2">
        <f>+modelInfo!D21+modelInfo!I21*SIN(modelInfo!H21)*12</f>
        <v>20405.513898672754</v>
      </c>
      <c r="D214" s="2">
        <f>+modelInfo!G21 + modelInfo!$P$4</f>
        <v>354</v>
      </c>
      <c r="E214" t="s">
        <v>279</v>
      </c>
    </row>
    <row r="215" spans="1:5" x14ac:dyDescent="0.2">
      <c r="A215" s="1" t="s">
        <v>232</v>
      </c>
      <c r="B215" s="2">
        <f>+modelInfo!C22-modelInfo!I22*COS(modelInfo!H22)*12</f>
        <v>7488.7840978825752</v>
      </c>
      <c r="C215" s="2">
        <f>+modelInfo!D22+modelInfo!I22*SIN(modelInfo!H22)*12</f>
        <v>21320.105063323543</v>
      </c>
      <c r="D215" s="2">
        <f>+modelInfo!G22 + modelInfo!$P$4</f>
        <v>350.4</v>
      </c>
      <c r="E215" t="s">
        <v>279</v>
      </c>
    </row>
    <row r="216" spans="1:5" x14ac:dyDescent="0.2">
      <c r="A216" s="1" t="s">
        <v>233</v>
      </c>
      <c r="B216" s="2">
        <f>+modelInfo!C23-modelInfo!I23*COS(modelInfo!H23)*12</f>
        <v>7347.636205925487</v>
      </c>
      <c r="C216" s="2">
        <f>+modelInfo!D23+modelInfo!I23*SIN(modelInfo!H23)*12</f>
        <v>22372.342286031715</v>
      </c>
      <c r="D216" s="2">
        <f>+modelInfo!G23 + modelInfo!$P$4</f>
        <v>346.79999999999995</v>
      </c>
      <c r="E216" t="s">
        <v>279</v>
      </c>
    </row>
    <row r="217" spans="1:5" x14ac:dyDescent="0.2">
      <c r="A217" s="1" t="s">
        <v>234</v>
      </c>
      <c r="B217" s="2">
        <f>+modelInfo!C24-modelInfo!I24*COS(modelInfo!H24)*12</f>
        <v>7263.2401229494526</v>
      </c>
      <c r="C217" s="2">
        <f>+modelInfo!D24+modelInfo!I24*SIN(modelInfo!H24)*12</f>
        <v>23151.623948604825</v>
      </c>
      <c r="D217" s="2">
        <f>+modelInfo!G24 + modelInfo!$P$4</f>
        <v>355.20000000000005</v>
      </c>
      <c r="E217" t="s">
        <v>279</v>
      </c>
    </row>
    <row r="218" spans="1:5" x14ac:dyDescent="0.2">
      <c r="A218" s="1" t="s">
        <v>235</v>
      </c>
      <c r="B218" s="2">
        <f>+modelInfo!C25-modelInfo!I25*COS(modelInfo!H25)*12</f>
        <v>7139.3219140417468</v>
      </c>
      <c r="C218" s="2">
        <f>+modelInfo!D25+modelInfo!I25*SIN(modelInfo!H25)*12</f>
        <v>24522.915088726986</v>
      </c>
      <c r="D218" s="2">
        <f>+modelInfo!G25 + modelInfo!$P$4</f>
        <v>349.20000000000005</v>
      </c>
      <c r="E218" t="s">
        <v>279</v>
      </c>
    </row>
    <row r="219" spans="1:5" x14ac:dyDescent="0.2">
      <c r="A219" s="1" t="s">
        <v>236</v>
      </c>
      <c r="B219" s="2">
        <f>+modelInfo!C26-modelInfo!I26*COS(modelInfo!H26)*12</f>
        <v>7084.4877870660785</v>
      </c>
      <c r="C219" s="2">
        <f>+modelInfo!D26+modelInfo!I26*SIN(modelInfo!H26)*12</f>
        <v>25418.511346607949</v>
      </c>
      <c r="D219" s="2">
        <f>+modelInfo!G26 + modelInfo!$P$4</f>
        <v>345.6</v>
      </c>
      <c r="E219" t="s">
        <v>279</v>
      </c>
    </row>
    <row r="220" spans="1:5" x14ac:dyDescent="0.2">
      <c r="A220" s="1" t="s">
        <v>237</v>
      </c>
      <c r="B220" s="2">
        <f>+modelInfo!C27-modelInfo!I27*COS(modelInfo!H27)*12</f>
        <v>7052.886029055574</v>
      </c>
      <c r="C220" s="2">
        <f>+modelInfo!D27+modelInfo!I27*SIN(modelInfo!H27)*12</f>
        <v>26312.679330800602</v>
      </c>
      <c r="D220" s="2">
        <f>+modelInfo!G27 + modelInfo!$P$4</f>
        <v>342</v>
      </c>
      <c r="E220" t="s">
        <v>279</v>
      </c>
    </row>
    <row r="221" spans="1:5" x14ac:dyDescent="0.2">
      <c r="A221" s="1" t="s">
        <v>238</v>
      </c>
      <c r="B221" s="2">
        <f>+modelInfo!C28-modelInfo!I28*COS(modelInfo!H28)*12</f>
        <v>7025.2851520457689</v>
      </c>
      <c r="C221" s="2">
        <f>+modelInfo!D28+modelInfo!I28*SIN(modelInfo!H28)*12</f>
        <v>27205.506628305815</v>
      </c>
      <c r="D221" s="2">
        <f>+modelInfo!G28 + modelInfo!$P$4</f>
        <v>350.4</v>
      </c>
      <c r="E221" t="s">
        <v>279</v>
      </c>
    </row>
    <row r="222" spans="1:5" x14ac:dyDescent="0.2">
      <c r="A222" s="1" t="s">
        <v>239</v>
      </c>
      <c r="B222" s="2">
        <f>+modelInfo!C29-modelInfo!I29*COS(modelInfo!H29)*12</f>
        <v>7003.2921561159956</v>
      </c>
      <c r="C222" s="2">
        <f>+modelInfo!D29+modelInfo!I29*SIN(modelInfo!H29)*12</f>
        <v>28096.85098426036</v>
      </c>
      <c r="D222" s="2">
        <f>+modelInfo!G29 + modelInfo!$P$4</f>
        <v>346.79999999999995</v>
      </c>
      <c r="E222" t="s">
        <v>279</v>
      </c>
    </row>
    <row r="223" spans="1:5" x14ac:dyDescent="0.2">
      <c r="A223" s="1" t="s">
        <v>240</v>
      </c>
      <c r="B223" s="2">
        <f>+modelInfo!C30-modelInfo!I30*COS(modelInfo!H30)*12</f>
        <v>6993.3800678626949</v>
      </c>
      <c r="C223" s="2">
        <f>+modelInfo!D30+modelInfo!I30*SIN(modelInfo!H30)*12</f>
        <v>29614.869429835744</v>
      </c>
      <c r="D223" s="2">
        <f>+modelInfo!G30 + modelInfo!$P$4</f>
        <v>340.79999999999995</v>
      </c>
      <c r="E223" t="s">
        <v>279</v>
      </c>
    </row>
    <row r="224" spans="1:5" x14ac:dyDescent="0.2">
      <c r="A224" s="1" t="s">
        <v>241</v>
      </c>
      <c r="B224" s="2">
        <f>+modelInfo!C31-modelInfo!I31*COS(modelInfo!H31)*12</f>
        <v>6991.7224750018195</v>
      </c>
      <c r="C224" s="2">
        <f>+modelInfo!D31+modelInfo!I31*SIN(modelInfo!H31)*12</f>
        <v>30705.607332907421</v>
      </c>
      <c r="D224" s="2">
        <f>+modelInfo!G31 + modelInfo!$P$4</f>
        <v>336</v>
      </c>
      <c r="E224" t="s">
        <v>279</v>
      </c>
    </row>
    <row r="225" spans="1:5" x14ac:dyDescent="0.2">
      <c r="A225" s="1" t="s">
        <v>242</v>
      </c>
      <c r="B225" s="2">
        <f>+modelInfo!C32-modelInfo!I32*COS(modelInfo!H32)*12</f>
        <v>6990.2872306364543</v>
      </c>
      <c r="C225" s="2">
        <f>+modelInfo!D32+modelInfo!I32*SIN(modelInfo!H32)*12</f>
        <v>31797.755157938242</v>
      </c>
      <c r="D225" s="2">
        <f>+modelInfo!G32 + modelInfo!$P$4</f>
        <v>331.20000000000005</v>
      </c>
      <c r="E225" t="s">
        <v>279</v>
      </c>
    </row>
    <row r="226" spans="1:5" x14ac:dyDescent="0.2">
      <c r="A226" s="1" t="s">
        <v>243</v>
      </c>
      <c r="B226" s="2">
        <f>+modelInfo!C33-modelInfo!I33*COS(modelInfo!H33)*12</f>
        <v>6989.3474257579546</v>
      </c>
      <c r="C226" s="2">
        <f>+modelInfo!D33+modelInfo!I33*SIN(modelInfo!H33)*12</f>
        <v>32898.136117512135</v>
      </c>
      <c r="D226" s="2">
        <f>+modelInfo!G33 + modelInfo!$P$4</f>
        <v>327.60000000000002</v>
      </c>
      <c r="E226" t="s">
        <v>279</v>
      </c>
    </row>
    <row r="227" spans="1:5" x14ac:dyDescent="0.2">
      <c r="A227" s="1" t="s">
        <v>244</v>
      </c>
      <c r="B227" s="2">
        <f>+modelInfo!C34-modelInfo!I34*COS(modelInfo!H34)*12</f>
        <v>6988.2826404699008</v>
      </c>
      <c r="C227" s="2">
        <f>+modelInfo!D34+modelInfo!I34*SIN(modelInfo!H34)*12</f>
        <v>34257.800044304015</v>
      </c>
      <c r="D227" s="2">
        <f>+modelInfo!G34 + modelInfo!$P$4</f>
        <v>333.6</v>
      </c>
      <c r="E227" t="s">
        <v>279</v>
      </c>
    </row>
    <row r="228" spans="1:5" x14ac:dyDescent="0.2">
      <c r="A228" s="1" t="s">
        <v>245</v>
      </c>
      <c r="B228" s="2">
        <f>+modelInfo!C35-modelInfo!I35*COS(modelInfo!H35)*12</f>
        <v>6987.4063485364231</v>
      </c>
      <c r="C228" s="2">
        <f>+modelInfo!D35+modelInfo!I35*SIN(modelInfo!H35)*12</f>
        <v>35150.50389985201</v>
      </c>
      <c r="D228" s="2">
        <f>+modelInfo!G35 + modelInfo!$P$4</f>
        <v>330</v>
      </c>
      <c r="E228" t="s">
        <v>279</v>
      </c>
    </row>
    <row r="229" spans="1:5" x14ac:dyDescent="0.2">
      <c r="A229" s="1" t="s">
        <v>246</v>
      </c>
      <c r="B229" s="2">
        <f>+modelInfo!C36-modelInfo!I36*COS(modelInfo!H36)*12</f>
        <v>6986.4488488730094</v>
      </c>
      <c r="C229" s="2">
        <f>+modelInfo!D36+modelInfo!I36*SIN(modelInfo!H36)*12</f>
        <v>36041.199287290365</v>
      </c>
      <c r="D229" s="2">
        <f>+modelInfo!G36 + modelInfo!$P$4</f>
        <v>326.39999999999998</v>
      </c>
      <c r="E229" t="s">
        <v>279</v>
      </c>
    </row>
    <row r="230" spans="1:5" x14ac:dyDescent="0.2">
      <c r="A230" s="1" t="s">
        <v>247</v>
      </c>
      <c r="B230" s="2">
        <f>+modelInfo!C37-modelInfo!I37*COS(modelInfo!H37)*12</f>
        <v>6985.3675382295769</v>
      </c>
      <c r="C230" s="2">
        <f>+modelInfo!D37+modelInfo!I37*SIN(modelInfo!H37)*12</f>
        <v>37043.598359077492</v>
      </c>
      <c r="D230" s="2">
        <f>+modelInfo!G37 + modelInfo!$P$4</f>
        <v>334.79999999999995</v>
      </c>
      <c r="E230" t="s">
        <v>279</v>
      </c>
    </row>
    <row r="231" spans="1:5" x14ac:dyDescent="0.2">
      <c r="A231" s="1" t="s">
        <v>248</v>
      </c>
      <c r="B231" s="2">
        <f>+modelInfo!C38-modelInfo!I38*COS(modelInfo!H38)*12</f>
        <v>6984.1662217468311</v>
      </c>
      <c r="C231" s="2">
        <f>+modelInfo!D38+modelInfo!I38*SIN(modelInfo!H38)*12</f>
        <v>38302.764456082645</v>
      </c>
      <c r="D231" s="2">
        <f>+modelInfo!G38 + modelInfo!$P$4</f>
        <v>328.79999999999995</v>
      </c>
      <c r="E231" t="s">
        <v>279</v>
      </c>
    </row>
    <row r="232" spans="1:5" x14ac:dyDescent="0.2">
      <c r="A232" s="1" t="s">
        <v>249</v>
      </c>
      <c r="B232" s="2">
        <f>+modelInfo!C39-modelInfo!I39*COS(modelInfo!H39)*12</f>
        <v>6983.5574081406021</v>
      </c>
      <c r="C232" s="2">
        <f>+modelInfo!D39+modelInfo!I39*SIN(modelInfo!H39)*12</f>
        <v>39148.848018637058</v>
      </c>
      <c r="D232" s="2">
        <f>+modelInfo!G39 + modelInfo!$P$4</f>
        <v>337.20000000000005</v>
      </c>
      <c r="E232" t="s">
        <v>279</v>
      </c>
    </row>
    <row r="233" spans="1:5" x14ac:dyDescent="0.2">
      <c r="A233" s="1" t="s">
        <v>250</v>
      </c>
      <c r="B233" s="2">
        <f>+modelInfo!C40-modelInfo!I40*COS(modelInfo!H40)*12</f>
        <v>6983.1834003193644</v>
      </c>
      <c r="C233" s="2">
        <f>+modelInfo!D40+modelInfo!I40*SIN(modelInfo!H40)*12</f>
        <v>39998.386575160432</v>
      </c>
      <c r="D233" s="2">
        <f>+modelInfo!G40 + modelInfo!$P$4</f>
        <v>334.79999999999995</v>
      </c>
      <c r="E233" t="s">
        <v>279</v>
      </c>
    </row>
    <row r="234" spans="1:5" x14ac:dyDescent="0.2">
      <c r="A234" s="1" t="s">
        <v>251</v>
      </c>
      <c r="B234" s="2">
        <f>+modelInfo!C41-modelInfo!I41*COS(modelInfo!H41)*12</f>
        <v>6983.1096059699621</v>
      </c>
      <c r="C234" s="2">
        <f>+modelInfo!D41+modelInfo!I41*SIN(modelInfo!H41)*12</f>
        <v>40844.751269442218</v>
      </c>
      <c r="D234" s="2">
        <f>+modelInfo!G41 + modelInfo!$P$4</f>
        <v>344.4</v>
      </c>
      <c r="E234" t="s">
        <v>279</v>
      </c>
    </row>
    <row r="235" spans="1:5" x14ac:dyDescent="0.2">
      <c r="A235" s="1" t="s">
        <v>252</v>
      </c>
      <c r="B235" s="2">
        <f>+modelInfo!C42-modelInfo!I42*COS(modelInfo!H42)*12</f>
        <v>6983.6235256314867</v>
      </c>
      <c r="C235" s="2">
        <f>+modelInfo!D42+modelInfo!I42*SIN(modelInfo!H42)*12</f>
        <v>42207.853020797942</v>
      </c>
      <c r="D235" s="2">
        <f>+modelInfo!G42 + modelInfo!$P$4</f>
        <v>343.20000000000005</v>
      </c>
      <c r="E235" t="s">
        <v>279</v>
      </c>
    </row>
    <row r="236" spans="1:5" x14ac:dyDescent="0.2">
      <c r="A236" s="1" t="s">
        <v>253</v>
      </c>
      <c r="B236" s="2">
        <f>+modelInfo!C43-modelInfo!I43*COS(modelInfo!H43)*12</f>
        <v>6984.2585455945518</v>
      </c>
      <c r="C236" s="2">
        <f>+modelInfo!D43+modelInfo!I43*SIN(modelInfo!H43)*12</f>
        <v>43020.726720755163</v>
      </c>
      <c r="D236" s="2">
        <f>+modelInfo!G43 + modelInfo!$P$4</f>
        <v>345.6</v>
      </c>
      <c r="E236" t="s">
        <v>279</v>
      </c>
    </row>
    <row r="237" spans="1:5" x14ac:dyDescent="0.2">
      <c r="A237" s="1" t="s">
        <v>254</v>
      </c>
      <c r="B237" s="2">
        <f>+modelInfo!C44-modelInfo!I44*COS(modelInfo!H44)*12</f>
        <v>6985.0995677733699</v>
      </c>
      <c r="C237" s="2">
        <f>+modelInfo!D44+modelInfo!I44*SIN(modelInfo!H44)*12</f>
        <v>43827.91400483359</v>
      </c>
      <c r="D237" s="2">
        <f>+modelInfo!G44 + modelInfo!$P$4</f>
        <v>336</v>
      </c>
      <c r="E237" t="s">
        <v>279</v>
      </c>
    </row>
    <row r="238" spans="1:5" x14ac:dyDescent="0.2">
      <c r="A238" s="1" t="s">
        <v>255</v>
      </c>
      <c r="B238" s="2">
        <f>+modelInfo!C45-modelInfo!I45*COS(modelInfo!H45)*12</f>
        <v>6986.1308974203594</v>
      </c>
      <c r="C238" s="2">
        <f>+modelInfo!D45+modelInfo!I45*SIN(modelInfo!H45)*12</f>
        <v>44639.792832055857</v>
      </c>
      <c r="D238" s="2">
        <f>+modelInfo!G45 + modelInfo!$P$4</f>
        <v>340.79999999999995</v>
      </c>
      <c r="E238" t="s">
        <v>279</v>
      </c>
    </row>
    <row r="239" spans="1:5" x14ac:dyDescent="0.2">
      <c r="A239" s="1" t="s">
        <v>256</v>
      </c>
      <c r="B239" s="2">
        <f>+modelInfo!C46-modelInfo!I46*COS(modelInfo!H46)*12</f>
        <v>6988.202624779602</v>
      </c>
      <c r="C239" s="2">
        <f>+modelInfo!D46+modelInfo!I46*SIN(modelInfo!H46)*12</f>
        <v>46000.083285902525</v>
      </c>
      <c r="D239" s="2">
        <f>+modelInfo!G46 + modelInfo!$P$4</f>
        <v>340.79999999999995</v>
      </c>
      <c r="E239" t="s">
        <v>279</v>
      </c>
    </row>
    <row r="240" spans="1:5" x14ac:dyDescent="0.2">
      <c r="A240" s="1" t="s">
        <v>257</v>
      </c>
      <c r="B240" s="2">
        <f>+modelInfo!C47-modelInfo!I47*COS(modelInfo!H47)*12</f>
        <v>6989.6341413368673</v>
      </c>
      <c r="C240" s="2">
        <f>+modelInfo!D47+modelInfo!I47*SIN(modelInfo!H47)*12</f>
        <v>46830.600392743829</v>
      </c>
      <c r="D240" s="2">
        <f>+modelInfo!G47 + modelInfo!$P$4</f>
        <v>336</v>
      </c>
      <c r="E240" t="s">
        <v>279</v>
      </c>
    </row>
    <row r="241" spans="1:5" x14ac:dyDescent="0.2">
      <c r="A241" s="1" t="s">
        <v>258</v>
      </c>
      <c r="B241" s="2">
        <f>+modelInfo!C48-modelInfo!I48*COS(modelInfo!H48)*12</f>
        <v>6991.1620533543119</v>
      </c>
      <c r="C241" s="2">
        <f>+modelInfo!D48+modelInfo!I48*SIN(modelInfo!H48)*12</f>
        <v>47663.503810127186</v>
      </c>
      <c r="D241" s="2">
        <f>+modelInfo!G48 + modelInfo!$P$4</f>
        <v>332.4</v>
      </c>
      <c r="E241" t="s">
        <v>279</v>
      </c>
    </row>
    <row r="242" spans="1:5" x14ac:dyDescent="0.2">
      <c r="A242" s="1" t="s">
        <v>259</v>
      </c>
      <c r="B242" s="2">
        <f>+modelInfo!C49-modelInfo!I49*COS(modelInfo!H49)*12</f>
        <v>6992.7438608572693</v>
      </c>
      <c r="C242" s="2">
        <f>+modelInfo!D49+modelInfo!I49*SIN(modelInfo!H49)*12</f>
        <v>48491.311889766628</v>
      </c>
      <c r="D242" s="2">
        <f>+modelInfo!G49 + modelInfo!$P$4</f>
        <v>339.6</v>
      </c>
      <c r="E242" t="s">
        <v>279</v>
      </c>
    </row>
    <row r="243" spans="1:5" x14ac:dyDescent="0.2">
      <c r="A243" s="1" t="s">
        <v>260</v>
      </c>
      <c r="B243" s="2">
        <f>+modelInfo!C50-modelInfo!I50*COS(modelInfo!H50)*12</f>
        <v>6995.4231583604742</v>
      </c>
      <c r="C243" s="2">
        <f>+modelInfo!D50+modelInfo!I50*SIN(modelInfo!H50)*12</f>
        <v>49860.378608965519</v>
      </c>
      <c r="D243" s="2">
        <f>+modelInfo!G50 + modelInfo!$P$4</f>
        <v>352.79999999999995</v>
      </c>
      <c r="E243" t="s">
        <v>279</v>
      </c>
    </row>
    <row r="244" spans="1:5" x14ac:dyDescent="0.2">
      <c r="A244" s="1" t="s">
        <v>261</v>
      </c>
      <c r="B244" s="2">
        <f>+modelInfo!C51-modelInfo!I51*COS(modelInfo!H51)*12</f>
        <v>6997.5585459143895</v>
      </c>
      <c r="C244" s="2">
        <f>+modelInfo!D51+modelInfo!I51*SIN(modelInfo!H51)*12</f>
        <v>50960.086368183569</v>
      </c>
      <c r="D244" s="2">
        <f>+modelInfo!G51 + modelInfo!$P$4</f>
        <v>351.6</v>
      </c>
      <c r="E244" t="s">
        <v>279</v>
      </c>
    </row>
    <row r="245" spans="1:5" x14ac:dyDescent="0.2">
      <c r="A245" s="1" t="s">
        <v>262</v>
      </c>
      <c r="B245" s="2">
        <f>+modelInfo!C52-modelInfo!I52*COS(modelInfo!H52)*12</f>
        <v>6999.5852252446784</v>
      </c>
      <c r="C245" s="2">
        <f>+modelInfo!D52+modelInfo!I52*SIN(modelInfo!H52)*12</f>
        <v>52047.412655473105</v>
      </c>
      <c r="D245" s="2">
        <f>+modelInfo!G52 + modelInfo!$P$4</f>
        <v>350.4</v>
      </c>
      <c r="E245" t="s">
        <v>279</v>
      </c>
    </row>
    <row r="246" spans="1:5" x14ac:dyDescent="0.2">
      <c r="A246" s="1" t="s">
        <v>263</v>
      </c>
      <c r="B246" s="2">
        <f>+modelInfo!C53-modelInfo!I53*COS(modelInfo!H53)*12</f>
        <v>7001.48198992999</v>
      </c>
      <c r="C246" s="2">
        <f>+modelInfo!D53+modelInfo!I53*SIN(modelInfo!H53)*12</f>
        <v>53145.804515541073</v>
      </c>
      <c r="D246" s="2">
        <f>+modelInfo!G53 + modelInfo!$P$4</f>
        <v>348</v>
      </c>
      <c r="E246" t="s">
        <v>279</v>
      </c>
    </row>
    <row r="247" spans="1:5" x14ac:dyDescent="0.2">
      <c r="A247" s="1" t="s">
        <v>264</v>
      </c>
      <c r="B247" s="2">
        <f>+modelInfo!C54-modelInfo!I54*COS(modelInfo!H54)*12</f>
        <v>7003.4763478508876</v>
      </c>
      <c r="C247" s="2">
        <f>+modelInfo!D54+modelInfo!I54*SIN(modelInfo!H54)*12</f>
        <v>54508.73496017357</v>
      </c>
      <c r="D247" s="2">
        <f>+modelInfo!G54 + modelInfo!$P$4</f>
        <v>349.20000000000005</v>
      </c>
      <c r="E247" t="s">
        <v>279</v>
      </c>
    </row>
    <row r="248" spans="1:5" x14ac:dyDescent="0.2">
      <c r="A248" s="1" t="s">
        <v>265</v>
      </c>
      <c r="B248" s="2">
        <f>+modelInfo!C55-modelInfo!I55*COS(modelInfo!H55)*12</f>
        <v>7004.4461165435514</v>
      </c>
      <c r="C248" s="2">
        <f>+modelInfo!D55+modelInfo!I55*SIN(modelInfo!H55)*12</f>
        <v>55417.27481922185</v>
      </c>
      <c r="D248" s="2">
        <f>+modelInfo!G55 + modelInfo!$P$4</f>
        <v>357.6</v>
      </c>
      <c r="E248" t="s">
        <v>279</v>
      </c>
    </row>
    <row r="249" spans="1:5" x14ac:dyDescent="0.2">
      <c r="A249" s="1" t="s">
        <v>266</v>
      </c>
      <c r="B249" s="2">
        <f>+modelInfo!C56-modelInfo!I56*COS(modelInfo!H56)*12</f>
        <v>7005.0217002863119</v>
      </c>
      <c r="C249" s="2">
        <f>+modelInfo!D56+modelInfo!I56*SIN(modelInfo!H56)*12</f>
        <v>56334.359235444157</v>
      </c>
      <c r="D249" s="2">
        <f>+modelInfo!G56 + modelInfo!$P$4</f>
        <v>354</v>
      </c>
      <c r="E249" t="s">
        <v>279</v>
      </c>
    </row>
    <row r="250" spans="1:5" x14ac:dyDescent="0.2">
      <c r="A250" s="1" t="s">
        <v>267</v>
      </c>
      <c r="B250" s="2">
        <f>+modelInfo!C57-modelInfo!I57*COS(modelInfo!H57)*12</f>
        <v>7005.0970133219644</v>
      </c>
      <c r="C250" s="2">
        <f>+modelInfo!D57+modelInfo!I57*SIN(modelInfo!H57)*12</f>
        <v>57246.315791545974</v>
      </c>
      <c r="D250" s="2">
        <f>+modelInfo!G57 + modelInfo!$P$4</f>
        <v>363.6</v>
      </c>
      <c r="E250" t="s">
        <v>279</v>
      </c>
    </row>
    <row r="251" spans="1:5" x14ac:dyDescent="0.2">
      <c r="A251" s="1" t="s">
        <v>268</v>
      </c>
      <c r="B251" s="2">
        <f>+modelInfo!C58-modelInfo!I58*COS(modelInfo!H58)*12</f>
        <v>7004.5864973148273</v>
      </c>
      <c r="C251" s="2">
        <f>+modelInfo!D58+modelInfo!I58*SIN(modelInfo!H58)*12</f>
        <v>58152.846837255282</v>
      </c>
      <c r="D251" s="2">
        <f>+modelInfo!G58 + modelInfo!$P$4</f>
        <v>372</v>
      </c>
      <c r="E251" t="s">
        <v>279</v>
      </c>
    </row>
    <row r="252" spans="1:5" x14ac:dyDescent="0.2">
      <c r="A252" s="1" t="s">
        <v>269</v>
      </c>
      <c r="B252" s="2">
        <f>+modelInfo!C59-modelInfo!I59*COS(modelInfo!H59)*12</f>
        <v>7002.5004386938963</v>
      </c>
      <c r="C252" s="2">
        <f>+modelInfo!D59+modelInfo!I59*SIN(modelInfo!H59)*12</f>
        <v>59523.311248863763</v>
      </c>
      <c r="D252" s="2">
        <f>+modelInfo!G59 + modelInfo!$P$4</f>
        <v>384</v>
      </c>
      <c r="E252" t="s">
        <v>279</v>
      </c>
    </row>
    <row r="253" spans="1:5" x14ac:dyDescent="0.2">
      <c r="A253" s="1" t="s">
        <v>270</v>
      </c>
      <c r="B253" s="2">
        <f>+modelInfo!C60-modelInfo!I60*COS(modelInfo!H60)*12</f>
        <v>7000.3404397470949</v>
      </c>
      <c r="C253" s="2">
        <f>+modelInfo!D60+modelInfo!I60*SIN(modelInfo!H60)*12</f>
        <v>60429.370507562184</v>
      </c>
      <c r="D253" s="2">
        <f>+modelInfo!G60 + modelInfo!$P$4</f>
        <v>399.6</v>
      </c>
      <c r="E253" t="s">
        <v>279</v>
      </c>
    </row>
    <row r="254" spans="1:5" x14ac:dyDescent="0.2">
      <c r="A254" s="1" t="s">
        <v>271</v>
      </c>
      <c r="B254" s="2">
        <f>+modelInfo!C61-modelInfo!I61*COS(modelInfo!H61)*12</f>
        <v>6998.1513181457585</v>
      </c>
      <c r="C254" s="2">
        <f>+modelInfo!D61+modelInfo!I61*SIN(modelInfo!H61)*12</f>
        <v>61345.635615389867</v>
      </c>
      <c r="D254" s="2">
        <f>+modelInfo!G61 + modelInfo!$P$4</f>
        <v>412.79999999999995</v>
      </c>
      <c r="E254" t="s">
        <v>279</v>
      </c>
    </row>
    <row r="255" spans="1:5" x14ac:dyDescent="0.2">
      <c r="A255" s="1" t="s">
        <v>272</v>
      </c>
      <c r="B255" s="2">
        <f>+modelInfo!C62-modelInfo!I62*COS(modelInfo!H62)*12</f>
        <v>6996.6213029160672</v>
      </c>
      <c r="C255" s="2">
        <f>+modelInfo!D62+modelInfo!I62*SIN(modelInfo!H62)*12</f>
        <v>62257.929366330143</v>
      </c>
      <c r="D255" s="2">
        <f>+modelInfo!G62 + modelInfo!$P$4</f>
        <v>422.4</v>
      </c>
      <c r="E255" t="s">
        <v>279</v>
      </c>
    </row>
    <row r="256" spans="1:5" x14ac:dyDescent="0.2">
      <c r="A256" s="1" t="s">
        <v>273</v>
      </c>
      <c r="B256" s="2">
        <f>+modelInfo!C63-modelInfo!I63*COS(modelInfo!H63)*12</f>
        <v>6996.3847733860348</v>
      </c>
      <c r="C256" s="2">
        <f>+modelInfo!D63+modelInfo!I63*SIN(modelInfo!H63)*12</f>
        <v>63156.850910006797</v>
      </c>
      <c r="D256" s="2">
        <f>+modelInfo!G63 + modelInfo!$P$4</f>
        <v>427.20000000000005</v>
      </c>
      <c r="E256" t="s">
        <v>279</v>
      </c>
    </row>
    <row r="257" spans="1:5" x14ac:dyDescent="0.2">
      <c r="A257" s="1" t="s">
        <v>274</v>
      </c>
      <c r="B257" s="2">
        <f>+modelInfo!C64-modelInfo!I64*COS(modelInfo!H64)*12</f>
        <v>6999.9192564179057</v>
      </c>
      <c r="C257" s="2">
        <f>+modelInfo!D64+modelInfo!I64*SIN(modelInfo!H64)*12</f>
        <v>64532.570842846457</v>
      </c>
      <c r="D257" s="2">
        <f>+modelInfo!G64 + modelInfo!$P$4</f>
        <v>410.4</v>
      </c>
      <c r="E257" t="s">
        <v>279</v>
      </c>
    </row>
    <row r="258" spans="1:5" x14ac:dyDescent="0.2">
      <c r="A258" s="1" t="s">
        <v>275</v>
      </c>
      <c r="B258" s="2">
        <f>+modelInfo!C65-modelInfo!I65*COS(modelInfo!H65)*12</f>
        <v>7004.8898692879229</v>
      </c>
      <c r="C258" s="2">
        <f>+modelInfo!D65+modelInfo!I65*SIN(modelInfo!H65)*12</f>
        <v>65371.623372722897</v>
      </c>
      <c r="D258" s="2">
        <f>+modelInfo!G65 + modelInfo!$P$4</f>
        <v>397.20000000000005</v>
      </c>
      <c r="E258" t="s">
        <v>279</v>
      </c>
    </row>
    <row r="259" spans="1:5" x14ac:dyDescent="0.2">
      <c r="A259" s="1" t="s">
        <v>276</v>
      </c>
      <c r="B259" s="2">
        <f>+modelInfo!C66-modelInfo!I66*COS(modelInfo!H66)*12</f>
        <v>7012.5129145507044</v>
      </c>
      <c r="C259" s="2">
        <f>+modelInfo!D66+modelInfo!I66*SIN(modelInfo!H66)*12</f>
        <v>66204.650382477674</v>
      </c>
      <c r="D259" s="2">
        <f>+modelInfo!G66 + modelInfo!$P$4</f>
        <v>379.20000000000005</v>
      </c>
      <c r="E259" t="s">
        <v>279</v>
      </c>
    </row>
    <row r="260" spans="1:5" x14ac:dyDescent="0.2">
      <c r="A260" s="1" t="s">
        <v>277</v>
      </c>
      <c r="B260" s="2">
        <f>+modelInfo!C67-modelInfo!I67*COS(modelInfo!H67)*12</f>
        <v>7022.7239119028072</v>
      </c>
      <c r="C260" s="2">
        <f>+modelInfo!D67+modelInfo!I67*SIN(modelInfo!H67)*12</f>
        <v>66894.900406008324</v>
      </c>
      <c r="D260" s="2">
        <f>+modelInfo!G67 + modelInfo!$P$4</f>
        <v>379.20000000000005</v>
      </c>
      <c r="E260" t="s">
        <v>279</v>
      </c>
    </row>
    <row r="261" spans="1:5" x14ac:dyDescent="0.2">
      <c r="A261" s="1" t="s">
        <v>278</v>
      </c>
      <c r="B261" s="2">
        <f>+modelInfo!C68-modelInfo!I68*COS(modelInfo!H68)*12</f>
        <v>7052.9063813592038</v>
      </c>
      <c r="C261" s="2">
        <f>+modelInfo!D68+modelInfo!I68*SIN(modelInfo!H68)*12</f>
        <v>68407.563076223203</v>
      </c>
      <c r="D261" s="2">
        <f>+modelInfo!G68 + modelInfo!$P$4</f>
        <v>379.20000000000005</v>
      </c>
      <c r="E261" t="s">
        <v>279</v>
      </c>
    </row>
    <row r="262" spans="1:5" x14ac:dyDescent="0.2">
      <c r="A262" s="1" t="s">
        <v>280</v>
      </c>
      <c r="B262" s="2">
        <f>+modelInfo!C4+modelInfo!I4*COS(modelInfo!H4)*12</f>
        <v>15071.361911541673</v>
      </c>
      <c r="C262" s="2">
        <f>+modelInfo!D4-modelInfo!I4*SIN(modelInfo!H4)*12</f>
        <v>2366.124696526329</v>
      </c>
      <c r="D262" s="2">
        <f>+modelInfo!G4+modelInfo!$P$4</f>
        <v>348</v>
      </c>
      <c r="E262" t="s">
        <v>345</v>
      </c>
    </row>
    <row r="263" spans="1:5" x14ac:dyDescent="0.2">
      <c r="A263" s="1" t="s">
        <v>281</v>
      </c>
      <c r="B263" s="2">
        <f>+modelInfo!C5+modelInfo!I5*COS(modelInfo!H5)*12</f>
        <v>14392.135696806314</v>
      </c>
      <c r="C263" s="2">
        <f>+modelInfo!D5-modelInfo!I5*SIN(modelInfo!H5)*12</f>
        <v>4192.3963339234369</v>
      </c>
      <c r="D263" s="2">
        <f>+modelInfo!G5+modelInfo!$P$4</f>
        <v>352.79999999999995</v>
      </c>
      <c r="E263" t="s">
        <v>345</v>
      </c>
    </row>
    <row r="264" spans="1:5" x14ac:dyDescent="0.2">
      <c r="A264" s="1" t="s">
        <v>282</v>
      </c>
      <c r="B264" s="2">
        <f>+modelInfo!C6+modelInfo!I6*COS(modelInfo!H6)*12</f>
        <v>13954.208111343665</v>
      </c>
      <c r="C264" s="2">
        <f>+modelInfo!D6-modelInfo!I6*SIN(modelInfo!H6)*12</f>
        <v>5205.1069773136423</v>
      </c>
      <c r="D264" s="2">
        <f>+modelInfo!G6+modelInfo!$P$4</f>
        <v>352.79999999999995</v>
      </c>
      <c r="E264" t="s">
        <v>345</v>
      </c>
    </row>
    <row r="265" spans="1:5" x14ac:dyDescent="0.2">
      <c r="A265" s="1" t="s">
        <v>283</v>
      </c>
      <c r="B265" s="2">
        <f>+modelInfo!C7+modelInfo!I7*COS(modelInfo!H7)*12</f>
        <v>13483.64676544447</v>
      </c>
      <c r="C265" s="2">
        <f>+modelInfo!D7-modelInfo!I7*SIN(modelInfo!H7)*12</f>
        <v>6216.4712721668539</v>
      </c>
      <c r="D265" s="2">
        <f>+modelInfo!G7+modelInfo!$P$4</f>
        <v>352.79999999999995</v>
      </c>
      <c r="E265" t="s">
        <v>345</v>
      </c>
    </row>
    <row r="266" spans="1:5" x14ac:dyDescent="0.2">
      <c r="A266" s="1" t="s">
        <v>284</v>
      </c>
      <c r="B266" s="2">
        <f>+modelInfo!C8+modelInfo!I8*COS(modelInfo!H8)*12</f>
        <v>12995.889240312235</v>
      </c>
      <c r="C266" s="2">
        <f>+modelInfo!D8-modelInfo!I8*SIN(modelInfo!H8)*12</f>
        <v>7208.8405468775263</v>
      </c>
      <c r="D266" s="2">
        <f>+modelInfo!G8+modelInfo!$P$4</f>
        <v>349.20000000000005</v>
      </c>
      <c r="E266" t="s">
        <v>345</v>
      </c>
    </row>
    <row r="267" spans="1:5" x14ac:dyDescent="0.2">
      <c r="A267" s="1" t="s">
        <v>285</v>
      </c>
      <c r="B267" s="2">
        <f>+modelInfo!C9+modelInfo!I9*COS(modelInfo!H9)*12</f>
        <v>12498.884961207934</v>
      </c>
      <c r="C267" s="2">
        <f>+modelInfo!D9-modelInfo!I9*SIN(modelInfo!H9)*12</f>
        <v>8202.5874937414519</v>
      </c>
      <c r="D267" s="2">
        <f>+modelInfo!G9+modelInfo!$P$4</f>
        <v>351.6</v>
      </c>
      <c r="E267" t="s">
        <v>345</v>
      </c>
    </row>
    <row r="268" spans="1:5" x14ac:dyDescent="0.2">
      <c r="A268" s="1" t="s">
        <v>286</v>
      </c>
      <c r="B268" s="2">
        <f>+modelInfo!C10+modelInfo!I10*COS(modelInfo!H10)*12</f>
        <v>11824.841717850963</v>
      </c>
      <c r="C268" s="2">
        <f>+modelInfo!D10-modelInfo!I10*SIN(modelInfo!H10)*12</f>
        <v>9558.0519431313314</v>
      </c>
      <c r="D268" s="2">
        <f>+modelInfo!G10+modelInfo!$P$4</f>
        <v>351.6</v>
      </c>
      <c r="E268" t="s">
        <v>345</v>
      </c>
    </row>
    <row r="269" spans="1:5" x14ac:dyDescent="0.2">
      <c r="A269" s="1" t="s">
        <v>287</v>
      </c>
      <c r="B269" s="2">
        <f>+modelInfo!C11+modelInfo!I11*COS(modelInfo!H11)*12</f>
        <v>11376.458137598705</v>
      </c>
      <c r="C269" s="2">
        <f>+modelInfo!D11-modelInfo!I11*SIN(modelInfo!H11)*12</f>
        <v>10479.783622635003</v>
      </c>
      <c r="D269" s="2">
        <f>+modelInfo!G11+modelInfo!$P$4</f>
        <v>346.79999999999995</v>
      </c>
      <c r="E269" t="s">
        <v>345</v>
      </c>
    </row>
    <row r="270" spans="1:5" x14ac:dyDescent="0.2">
      <c r="A270" s="1" t="s">
        <v>288</v>
      </c>
      <c r="B270" s="2">
        <f>+modelInfo!C12+modelInfo!I12*COS(modelInfo!H12)*12</f>
        <v>10933.12701497629</v>
      </c>
      <c r="C270" s="2">
        <f>+modelInfo!D12-modelInfo!I12*SIN(modelInfo!H12)*12</f>
        <v>11411.144371511131</v>
      </c>
      <c r="D270" s="2">
        <f>+modelInfo!G12+modelInfo!$P$4</f>
        <v>354</v>
      </c>
      <c r="E270" t="s">
        <v>345</v>
      </c>
    </row>
    <row r="271" spans="1:5" x14ac:dyDescent="0.2">
      <c r="A271" s="1" t="s">
        <v>289</v>
      </c>
      <c r="B271" s="2">
        <f>+modelInfo!C13+modelInfo!I13*COS(modelInfo!H13)*12</f>
        <v>10503.084505901297</v>
      </c>
      <c r="C271" s="2">
        <f>+modelInfo!D13-modelInfo!I13*SIN(modelInfo!H13)*12</f>
        <v>12337.65529545603</v>
      </c>
      <c r="D271" s="2">
        <f>+modelInfo!G13+modelInfo!$P$4</f>
        <v>349.20000000000005</v>
      </c>
      <c r="E271" t="s">
        <v>345</v>
      </c>
    </row>
    <row r="272" spans="1:5" x14ac:dyDescent="0.2">
      <c r="A272" s="1" t="s">
        <v>290</v>
      </c>
      <c r="B272" s="2">
        <f>+modelInfo!C14+modelInfo!I14*COS(modelInfo!H14)*12</f>
        <v>10085.184302163536</v>
      </c>
      <c r="C272" s="2">
        <f>+modelInfo!D14-modelInfo!I14*SIN(modelInfo!H14)*12</f>
        <v>13275.330426111788</v>
      </c>
      <c r="D272" s="2">
        <f>+modelInfo!G14+modelInfo!$P$4</f>
        <v>356.4</v>
      </c>
      <c r="E272" t="s">
        <v>345</v>
      </c>
    </row>
    <row r="273" spans="1:5" x14ac:dyDescent="0.2">
      <c r="A273" s="1" t="s">
        <v>291</v>
      </c>
      <c r="B273" s="2">
        <f>+modelInfo!C15+modelInfo!I15*COS(modelInfo!H15)*12</f>
        <v>9512.1143121146397</v>
      </c>
      <c r="C273" s="2">
        <f>+modelInfo!D15-modelInfo!I15*SIN(modelInfo!H15)*12</f>
        <v>14674.848161268146</v>
      </c>
      <c r="D273" s="2">
        <f>+modelInfo!G15+modelInfo!$P$4</f>
        <v>349.20000000000005</v>
      </c>
      <c r="E273" t="s">
        <v>345</v>
      </c>
    </row>
    <row r="274" spans="1:5" x14ac:dyDescent="0.2">
      <c r="A274" s="1" t="s">
        <v>292</v>
      </c>
      <c r="B274" s="2">
        <f>+modelInfo!C16+modelInfo!I16*COS(modelInfo!H16)*12</f>
        <v>9186.835233903239</v>
      </c>
      <c r="C274" s="2">
        <f>+modelInfo!D16-modelInfo!I16*SIN(modelInfo!H16)*12</f>
        <v>15546.846913009562</v>
      </c>
      <c r="D274" s="2">
        <f>+modelInfo!G16+modelInfo!$P$4</f>
        <v>411.6</v>
      </c>
      <c r="E274" t="s">
        <v>345</v>
      </c>
    </row>
    <row r="275" spans="1:5" x14ac:dyDescent="0.2">
      <c r="A275" s="1" t="s">
        <v>293</v>
      </c>
      <c r="B275" s="2">
        <f>+modelInfo!C17+modelInfo!I17*COS(modelInfo!H17)*12</f>
        <v>8887.5914221354087</v>
      </c>
      <c r="C275" s="2">
        <f>+modelInfo!D17-modelInfo!I17*SIN(modelInfo!H17)*12</f>
        <v>16421.878593542187</v>
      </c>
      <c r="D275" s="2">
        <f>+modelInfo!G17+modelInfo!$P$4</f>
        <v>358.79999999999995</v>
      </c>
      <c r="E275" t="s">
        <v>345</v>
      </c>
    </row>
    <row r="276" spans="1:5" x14ac:dyDescent="0.2">
      <c r="A276" s="1" t="s">
        <v>294</v>
      </c>
      <c r="B276" s="2">
        <f>+modelInfo!C18+modelInfo!I18*COS(modelInfo!H18)*12</f>
        <v>8605.459770542775</v>
      </c>
      <c r="C276" s="2">
        <f>+modelInfo!D18-modelInfo!I18*SIN(modelInfo!H18)*12</f>
        <v>17308.316057406581</v>
      </c>
      <c r="D276" s="2">
        <f>+modelInfo!G18+modelInfo!$P$4</f>
        <v>355.20000000000005</v>
      </c>
      <c r="E276" t="s">
        <v>345</v>
      </c>
    </row>
    <row r="277" spans="1:5" x14ac:dyDescent="0.2">
      <c r="A277" s="1" t="s">
        <v>295</v>
      </c>
      <c r="B277" s="2">
        <f>+modelInfo!C19+modelInfo!I19*COS(modelInfo!H19)*12</f>
        <v>8352.1084236968309</v>
      </c>
      <c r="C277" s="2">
        <f>+modelInfo!D19-modelInfo!I19*SIN(modelInfo!H19)*12</f>
        <v>18203.249900530227</v>
      </c>
      <c r="D277" s="2">
        <f>+modelInfo!G19+modelInfo!$P$4</f>
        <v>351.6</v>
      </c>
      <c r="E277" t="s">
        <v>345</v>
      </c>
    </row>
    <row r="278" spans="1:5" x14ac:dyDescent="0.2">
      <c r="A278" s="1" t="s">
        <v>296</v>
      </c>
      <c r="B278" s="2">
        <f>+modelInfo!C20+modelInfo!I20*COS(modelInfo!H20)*12</f>
        <v>8023.9380751359195</v>
      </c>
      <c r="C278" s="2">
        <f>+modelInfo!D20-modelInfo!I20*SIN(modelInfo!H20)*12</f>
        <v>19529.860413632126</v>
      </c>
      <c r="D278" s="2">
        <f>+modelInfo!G20+modelInfo!$P$4</f>
        <v>345.6</v>
      </c>
      <c r="E278" t="s">
        <v>345</v>
      </c>
    </row>
    <row r="279" spans="1:5" x14ac:dyDescent="0.2">
      <c r="A279" s="1" t="s">
        <v>297</v>
      </c>
      <c r="B279" s="2">
        <f>+modelInfo!C21+modelInfo!I21*COS(modelInfo!H21)*12</f>
        <v>7837.9451489028424</v>
      </c>
      <c r="C279" s="2">
        <f>+modelInfo!D21-modelInfo!I21*SIN(modelInfo!H21)*12</f>
        <v>20438.830701327242</v>
      </c>
      <c r="D279" s="2">
        <f>+modelInfo!G21+modelInfo!$P$4</f>
        <v>354</v>
      </c>
      <c r="E279" t="s">
        <v>345</v>
      </c>
    </row>
    <row r="280" spans="1:5" x14ac:dyDescent="0.2">
      <c r="A280" s="1" t="s">
        <v>298</v>
      </c>
      <c r="B280" s="2">
        <f>+modelInfo!C22+modelInfo!I22*COS(modelInfo!H22)*12</f>
        <v>7676.3685021174242</v>
      </c>
      <c r="C280" s="2">
        <f>+modelInfo!D22-modelInfo!I22*SIN(modelInfo!H22)*12</f>
        <v>21345.443536676459</v>
      </c>
      <c r="D280" s="2">
        <f>+modelInfo!G22+modelInfo!$P$4</f>
        <v>350.4</v>
      </c>
      <c r="E280" t="s">
        <v>345</v>
      </c>
    </row>
    <row r="281" spans="1:5" x14ac:dyDescent="0.2">
      <c r="A281" s="1" t="s">
        <v>299</v>
      </c>
      <c r="B281" s="2">
        <f>+modelInfo!C23+modelInfo!I23*COS(modelInfo!H23)*12</f>
        <v>7533.9085940745126</v>
      </c>
      <c r="C281" s="2">
        <f>+modelInfo!D23-modelInfo!I23*SIN(modelInfo!H23)*12</f>
        <v>22392.796113968288</v>
      </c>
      <c r="D281" s="2">
        <f>+modelInfo!G23+modelInfo!$P$4</f>
        <v>346.79999999999995</v>
      </c>
      <c r="E281" t="s">
        <v>345</v>
      </c>
    </row>
    <row r="282" spans="1:5" x14ac:dyDescent="0.2">
      <c r="A282" s="1" t="s">
        <v>300</v>
      </c>
      <c r="B282" s="2">
        <f>+modelInfo!C24+modelInfo!I24*COS(modelInfo!H24)*12</f>
        <v>7447.5532770505479</v>
      </c>
      <c r="C282" s="2">
        <f>+modelInfo!D24-modelInfo!I24*SIN(modelInfo!H24)*12</f>
        <v>23168.542251395174</v>
      </c>
      <c r="D282" s="2">
        <f>+modelInfo!G24+modelInfo!$P$4</f>
        <v>355.20000000000005</v>
      </c>
      <c r="E282" t="s">
        <v>345</v>
      </c>
    </row>
    <row r="283" spans="1:5" x14ac:dyDescent="0.2">
      <c r="A283" s="1" t="s">
        <v>301</v>
      </c>
      <c r="B283" s="2">
        <f>+modelInfo!C25+modelInfo!I25*COS(modelInfo!H25)*12</f>
        <v>7320.2386859582539</v>
      </c>
      <c r="C283" s="2">
        <f>+modelInfo!D25-modelInfo!I25*SIN(modelInfo!H25)*12</f>
        <v>24534.257911273016</v>
      </c>
      <c r="D283" s="2">
        <f>+modelInfo!G25+modelInfo!$P$4</f>
        <v>349.20000000000005</v>
      </c>
      <c r="E283" t="s">
        <v>345</v>
      </c>
    </row>
    <row r="284" spans="1:5" x14ac:dyDescent="0.2">
      <c r="A284" s="1" t="s">
        <v>302</v>
      </c>
      <c r="B284" s="2">
        <f>+modelInfo!C26+modelInfo!I26*COS(modelInfo!H26)*12</f>
        <v>7263.0712129339208</v>
      </c>
      <c r="C284" s="2">
        <f>+modelInfo!D26-modelInfo!I26*SIN(modelInfo!H26)*12</f>
        <v>25425.074853392049</v>
      </c>
      <c r="D284" s="2">
        <f>+modelInfo!G26+modelInfo!$P$4</f>
        <v>345.6</v>
      </c>
      <c r="E284" t="s">
        <v>345</v>
      </c>
    </row>
    <row r="285" spans="1:5" x14ac:dyDescent="0.2">
      <c r="A285" s="1" t="s">
        <v>303</v>
      </c>
      <c r="B285" s="2">
        <f>+modelInfo!C27+modelInfo!I27*COS(modelInfo!H27)*12</f>
        <v>7228.9785709444268</v>
      </c>
      <c r="C285" s="2">
        <f>+modelInfo!D27-modelInfo!I27*SIN(modelInfo!H27)*12</f>
        <v>26318.3554691994</v>
      </c>
      <c r="D285" s="2">
        <f>+modelInfo!G27+modelInfo!$P$4</f>
        <v>342</v>
      </c>
      <c r="E285" t="s">
        <v>345</v>
      </c>
    </row>
    <row r="286" spans="1:5" x14ac:dyDescent="0.2">
      <c r="A286" s="1" t="s">
        <v>304</v>
      </c>
      <c r="B286" s="2">
        <f>+modelInfo!C28+modelInfo!I28*COS(modelInfo!H28)*12</f>
        <v>7199.0590479542307</v>
      </c>
      <c r="C286" s="2">
        <f>+modelInfo!D28-modelInfo!I28*SIN(modelInfo!H28)*12</f>
        <v>27210.000771694187</v>
      </c>
      <c r="D286" s="2">
        <f>+modelInfo!G28+modelInfo!$P$4</f>
        <v>350.4</v>
      </c>
      <c r="E286" t="s">
        <v>345</v>
      </c>
    </row>
    <row r="287" spans="1:5" x14ac:dyDescent="0.2">
      <c r="A287" s="1" t="s">
        <v>305</v>
      </c>
      <c r="B287" s="2">
        <f>+modelInfo!C29+modelInfo!I29*COS(modelInfo!H29)*12</f>
        <v>7175.0314438840041</v>
      </c>
      <c r="C287" s="2">
        <f>+modelInfo!D29-modelInfo!I29*SIN(modelInfo!H29)*12</f>
        <v>28098.123215739637</v>
      </c>
      <c r="D287" s="2">
        <f>+modelInfo!G29+modelInfo!$P$4</f>
        <v>346.79999999999995</v>
      </c>
      <c r="E287" t="s">
        <v>345</v>
      </c>
    </row>
    <row r="288" spans="1:5" x14ac:dyDescent="0.2">
      <c r="A288" s="1" t="s">
        <v>306</v>
      </c>
      <c r="B288" s="2">
        <f>+modelInfo!C30+modelInfo!I30*COS(modelInfo!H30)*12</f>
        <v>7162.4597321373049</v>
      </c>
      <c r="C288" s="2">
        <f>+modelInfo!D30-modelInfo!I30*SIN(modelInfo!H30)*12</f>
        <v>29615.206370164255</v>
      </c>
      <c r="D288" s="2">
        <f>+modelInfo!G30+modelInfo!$P$4</f>
        <v>340.79999999999995</v>
      </c>
      <c r="E288" t="s">
        <v>345</v>
      </c>
    </row>
    <row r="289" spans="1:5" x14ac:dyDescent="0.2">
      <c r="A289" s="1" t="s">
        <v>307</v>
      </c>
      <c r="B289" s="2">
        <f>+modelInfo!C31+modelInfo!I31*COS(modelInfo!H31)*12</f>
        <v>7159.7703249981805</v>
      </c>
      <c r="C289" s="2">
        <f>+modelInfo!D31-modelInfo!I31*SIN(modelInfo!H31)*12</f>
        <v>30705.83186709258</v>
      </c>
      <c r="D289" s="2">
        <f>+modelInfo!G31+modelInfo!$P$4</f>
        <v>336</v>
      </c>
      <c r="E289" t="s">
        <v>345</v>
      </c>
    </row>
    <row r="290" spans="1:5" x14ac:dyDescent="0.2">
      <c r="A290" s="1" t="s">
        <v>308</v>
      </c>
      <c r="B290" s="2">
        <f>+modelInfo!C32+modelInfo!I32*COS(modelInfo!H32)*12</f>
        <v>7158.2871693635452</v>
      </c>
      <c r="C290" s="2">
        <f>+modelInfo!D32-modelInfo!I32*SIN(modelInfo!H32)*12</f>
        <v>31797.898642061758</v>
      </c>
      <c r="D290" s="2">
        <f>+modelInfo!G32+modelInfo!$P$4</f>
        <v>331.20000000000005</v>
      </c>
      <c r="E290" t="s">
        <v>345</v>
      </c>
    </row>
    <row r="291" spans="1:5" x14ac:dyDescent="0.2">
      <c r="A291" s="1" t="s">
        <v>309</v>
      </c>
      <c r="B291" s="2">
        <f>+modelInfo!C33+modelInfo!I33*COS(modelInfo!H33)*12</f>
        <v>7157.3473742420447</v>
      </c>
      <c r="C291" s="2">
        <f>+modelInfo!D33-modelInfo!I33*SIN(modelInfo!H33)*12</f>
        <v>32898.267682487865</v>
      </c>
      <c r="D291" s="2">
        <f>+modelInfo!G33+modelInfo!$P$4</f>
        <v>327.60000000000002</v>
      </c>
      <c r="E291" t="s">
        <v>345</v>
      </c>
    </row>
    <row r="292" spans="1:5" x14ac:dyDescent="0.2">
      <c r="A292" s="1" t="s">
        <v>310</v>
      </c>
      <c r="B292" s="2">
        <f>+modelInfo!C34+modelInfo!I34*COS(modelInfo!H34)*12</f>
        <v>7156.2825595300983</v>
      </c>
      <c r="C292" s="2">
        <f>+modelInfo!D34-modelInfo!I34*SIN(modelInfo!H34)*12</f>
        <v>34257.964955695985</v>
      </c>
      <c r="D292" s="2">
        <f>+modelInfo!G34+modelInfo!$P$4</f>
        <v>333.6</v>
      </c>
      <c r="E292" t="s">
        <v>345</v>
      </c>
    </row>
    <row r="293" spans="1:5" x14ac:dyDescent="0.2">
      <c r="A293" s="1" t="s">
        <v>311</v>
      </c>
      <c r="B293" s="2">
        <f>+modelInfo!C35+modelInfo!I35*COS(modelInfo!H35)*12</f>
        <v>7155.4062514635762</v>
      </c>
      <c r="C293" s="2">
        <f>+modelInfo!D35-modelInfo!I35*SIN(modelInfo!H35)*12</f>
        <v>35150.684500147989</v>
      </c>
      <c r="D293" s="2">
        <f>+modelInfo!G35+modelInfo!$P$4</f>
        <v>330</v>
      </c>
      <c r="E293" t="s">
        <v>345</v>
      </c>
    </row>
    <row r="294" spans="1:5" x14ac:dyDescent="0.2">
      <c r="A294" s="1" t="s">
        <v>312</v>
      </c>
      <c r="B294" s="2">
        <f>+modelInfo!C36+modelInfo!I36*COS(modelInfo!H36)*12</f>
        <v>7154.4487511269908</v>
      </c>
      <c r="C294" s="2">
        <f>+modelInfo!D36-modelInfo!I36*SIN(modelInfo!H36)*12</f>
        <v>36041.380512709642</v>
      </c>
      <c r="D294" s="2">
        <f>+modelInfo!G36+modelInfo!$P$4</f>
        <v>326.39999999999998</v>
      </c>
      <c r="E294" t="s">
        <v>345</v>
      </c>
    </row>
    <row r="295" spans="1:5" x14ac:dyDescent="0.2">
      <c r="A295" s="1" t="s">
        <v>313</v>
      </c>
      <c r="B295" s="2">
        <f>+modelInfo!C37+modelInfo!I37*COS(modelInfo!H37)*12</f>
        <v>7153.3674617704237</v>
      </c>
      <c r="C295" s="2">
        <f>+modelInfo!D37-modelInfo!I37*SIN(modelInfo!H37)*12</f>
        <v>37043.758640922511</v>
      </c>
      <c r="D295" s="2">
        <f>+modelInfo!G37+modelInfo!$P$4</f>
        <v>334.79999999999995</v>
      </c>
      <c r="E295" t="s">
        <v>345</v>
      </c>
    </row>
    <row r="296" spans="1:5" x14ac:dyDescent="0.2">
      <c r="A296" s="1" t="s">
        <v>314</v>
      </c>
      <c r="B296" s="2">
        <f>+modelInfo!C38+modelInfo!I38*COS(modelInfo!H38)*12</f>
        <v>7152.1661782531683</v>
      </c>
      <c r="C296" s="2">
        <f>+modelInfo!D38-modelInfo!I38*SIN(modelInfo!H38)*12</f>
        <v>38302.885343917354</v>
      </c>
      <c r="D296" s="2">
        <f>+modelInfo!G38+modelInfo!$P$4</f>
        <v>328.79999999999995</v>
      </c>
      <c r="E296" t="s">
        <v>345</v>
      </c>
    </row>
    <row r="297" spans="1:5" x14ac:dyDescent="0.2">
      <c r="A297" s="1" t="s">
        <v>315</v>
      </c>
      <c r="B297" s="2">
        <f>+modelInfo!C39+modelInfo!I39*COS(modelInfo!H39)*12</f>
        <v>7151.5573918593973</v>
      </c>
      <c r="C297" s="2">
        <f>+modelInfo!D39-modelInfo!I39*SIN(modelInfo!H39)*12</f>
        <v>39148.921981362946</v>
      </c>
      <c r="D297" s="2">
        <f>+modelInfo!G39+modelInfo!$P$4</f>
        <v>337.20000000000005</v>
      </c>
      <c r="E297" t="s">
        <v>345</v>
      </c>
    </row>
    <row r="298" spans="1:5" x14ac:dyDescent="0.2">
      <c r="A298" s="1" t="s">
        <v>316</v>
      </c>
      <c r="B298" s="2">
        <f>+modelInfo!C40+modelInfo!I40*COS(modelInfo!H40)*12</f>
        <v>7151.1833996806354</v>
      </c>
      <c r="C298" s="2">
        <f>+modelInfo!D40-modelInfo!I40*SIN(modelInfo!H40)*12</f>
        <v>39998.401224839574</v>
      </c>
      <c r="D298" s="2">
        <f>+modelInfo!G40+modelInfo!$P$4</f>
        <v>334.79999999999995</v>
      </c>
      <c r="E298" t="s">
        <v>345</v>
      </c>
    </row>
    <row r="299" spans="1:5" x14ac:dyDescent="0.2">
      <c r="A299" s="1" t="s">
        <v>317</v>
      </c>
      <c r="B299" s="2">
        <f>+modelInfo!C41+modelInfo!I41*COS(modelInfo!H41)*12</f>
        <v>7151.1095940300374</v>
      </c>
      <c r="C299" s="2">
        <f>+modelInfo!D41-modelInfo!I41*SIN(modelInfo!H41)*12</f>
        <v>40844.687930557775</v>
      </c>
      <c r="D299" s="2">
        <f>+modelInfo!G41+modelInfo!$P$4</f>
        <v>344.4</v>
      </c>
      <c r="E299" t="s">
        <v>345</v>
      </c>
    </row>
    <row r="300" spans="1:5" x14ac:dyDescent="0.2">
      <c r="A300" s="1" t="s">
        <v>318</v>
      </c>
      <c r="B300" s="2">
        <f>+modelInfo!C42+modelInfo!I42*COS(modelInfo!H42)*12</f>
        <v>7151.6234743685127</v>
      </c>
      <c r="C300" s="2">
        <f>+modelInfo!D42-modelInfo!I42*SIN(modelInfo!H42)*12</f>
        <v>42207.72177920206</v>
      </c>
      <c r="D300" s="2">
        <f>+modelInfo!G42+modelInfo!$P$4</f>
        <v>343.20000000000005</v>
      </c>
      <c r="E300" t="s">
        <v>345</v>
      </c>
    </row>
    <row r="301" spans="1:5" x14ac:dyDescent="0.2">
      <c r="A301" s="1" t="s">
        <v>319</v>
      </c>
      <c r="B301" s="2">
        <f>+modelInfo!C43+modelInfo!I43*COS(modelInfo!H43)*12</f>
        <v>7152.258454405448</v>
      </c>
      <c r="C301" s="2">
        <f>+modelInfo!D43-modelInfo!I43*SIN(modelInfo!H43)*12</f>
        <v>43020.551679244832</v>
      </c>
      <c r="D301" s="2">
        <f>+modelInfo!G43+modelInfo!$P$4</f>
        <v>345.6</v>
      </c>
      <c r="E301" t="s">
        <v>345</v>
      </c>
    </row>
    <row r="302" spans="1:5" x14ac:dyDescent="0.2">
      <c r="A302" s="1" t="s">
        <v>320</v>
      </c>
      <c r="B302" s="2">
        <f>+modelInfo!C44+modelInfo!I44*COS(modelInfo!H44)*12</f>
        <v>7153.0994322266306</v>
      </c>
      <c r="C302" s="2">
        <f>+modelInfo!D44-modelInfo!I44*SIN(modelInfo!H44)*12</f>
        <v>43827.70059516641</v>
      </c>
      <c r="D302" s="2">
        <f>+modelInfo!G44+modelInfo!$P$4</f>
        <v>336</v>
      </c>
      <c r="E302" t="s">
        <v>345</v>
      </c>
    </row>
    <row r="303" spans="1:5" x14ac:dyDescent="0.2">
      <c r="A303" s="1" t="s">
        <v>321</v>
      </c>
      <c r="B303" s="2">
        <f>+modelInfo!C45+modelInfo!I45*COS(modelInfo!H45)*12</f>
        <v>7154.1307025796405</v>
      </c>
      <c r="C303" s="2">
        <f>+modelInfo!D45-modelInfo!I45*SIN(modelInfo!H45)*12</f>
        <v>44639.53696794415</v>
      </c>
      <c r="D303" s="2">
        <f>+modelInfo!G45+modelInfo!$P$4</f>
        <v>340.79999999999995</v>
      </c>
      <c r="E303" t="s">
        <v>345</v>
      </c>
    </row>
    <row r="304" spans="1:5" x14ac:dyDescent="0.2">
      <c r="A304" s="1" t="s">
        <v>322</v>
      </c>
      <c r="B304" s="2">
        <f>+modelInfo!C46+modelInfo!I46*COS(modelInfo!H46)*12</f>
        <v>7156.2023752203986</v>
      </c>
      <c r="C304" s="2">
        <f>+modelInfo!D46-modelInfo!I46*SIN(modelInfo!H46)*12</f>
        <v>45999.793714097468</v>
      </c>
      <c r="D304" s="2">
        <f>+modelInfo!G46+modelInfo!$P$4</f>
        <v>340.79999999999995</v>
      </c>
      <c r="E304" t="s">
        <v>345</v>
      </c>
    </row>
    <row r="305" spans="1:5" x14ac:dyDescent="0.2">
      <c r="A305" s="1" t="s">
        <v>323</v>
      </c>
      <c r="B305" s="2">
        <f>+modelInfo!C47+modelInfo!I47*COS(modelInfo!H47)*12</f>
        <v>7157.6338586631327</v>
      </c>
      <c r="C305" s="2">
        <f>+modelInfo!D47-modelInfo!I47*SIN(modelInfo!H47)*12</f>
        <v>46830.292207256178</v>
      </c>
      <c r="D305" s="2">
        <f>+modelInfo!G47+modelInfo!$P$4</f>
        <v>336</v>
      </c>
      <c r="E305" t="s">
        <v>345</v>
      </c>
    </row>
    <row r="306" spans="1:5" x14ac:dyDescent="0.2">
      <c r="A306" s="1" t="s">
        <v>324</v>
      </c>
      <c r="B306" s="2">
        <f>+modelInfo!C48+modelInfo!I48*COS(modelInfo!H48)*12</f>
        <v>7159.1617466456883</v>
      </c>
      <c r="C306" s="2">
        <f>+modelInfo!D48-modelInfo!I48*SIN(modelInfo!H48)*12</f>
        <v>47663.182789872815</v>
      </c>
      <c r="D306" s="2">
        <f>+modelInfo!G48+modelInfo!$P$4</f>
        <v>332.4</v>
      </c>
      <c r="E306" t="s">
        <v>345</v>
      </c>
    </row>
    <row r="307" spans="1:5" x14ac:dyDescent="0.2">
      <c r="A307" s="1" t="s">
        <v>325</v>
      </c>
      <c r="B307" s="2">
        <f>+modelInfo!C49+modelInfo!I49*COS(modelInfo!H49)*12</f>
        <v>7160.7435391427307</v>
      </c>
      <c r="C307" s="2">
        <f>+modelInfo!D49-modelInfo!I49*SIN(modelInfo!H49)*12</f>
        <v>48490.98311023337</v>
      </c>
      <c r="D307" s="2">
        <f>+modelInfo!G49+modelInfo!$P$4</f>
        <v>339.6</v>
      </c>
      <c r="E307" t="s">
        <v>345</v>
      </c>
    </row>
    <row r="308" spans="1:5" x14ac:dyDescent="0.2">
      <c r="A308" s="1" t="s">
        <v>326</v>
      </c>
      <c r="B308" s="2">
        <f>+modelInfo!C50+modelInfo!I50*COS(modelInfo!H50)*12</f>
        <v>7163.4228416395254</v>
      </c>
      <c r="C308" s="2">
        <f>+modelInfo!D50-modelInfo!I50*SIN(modelInfo!H50)*12</f>
        <v>49860.052391034478</v>
      </c>
      <c r="D308" s="2">
        <f>+modelInfo!G50+modelInfo!$P$4</f>
        <v>352.79999999999995</v>
      </c>
      <c r="E308" t="s">
        <v>345</v>
      </c>
    </row>
    <row r="309" spans="1:5" x14ac:dyDescent="0.2">
      <c r="A309" s="1" t="s">
        <v>327</v>
      </c>
      <c r="B309" s="2">
        <f>+modelInfo!C51+modelInfo!I51*COS(modelInfo!H51)*12</f>
        <v>7165.5582540856103</v>
      </c>
      <c r="C309" s="2">
        <f>+modelInfo!D51-modelInfo!I51*SIN(modelInfo!H51)*12</f>
        <v>50959.773231816427</v>
      </c>
      <c r="D309" s="2">
        <f>+modelInfo!G51+modelInfo!$P$4</f>
        <v>351.6</v>
      </c>
      <c r="E309" t="s">
        <v>345</v>
      </c>
    </row>
    <row r="310" spans="1:5" x14ac:dyDescent="0.2">
      <c r="A310" s="1" t="s">
        <v>328</v>
      </c>
      <c r="B310" s="2">
        <f>+modelInfo!C52+modelInfo!I52*COS(modelInfo!H52)*12</f>
        <v>7167.584974755322</v>
      </c>
      <c r="C310" s="2">
        <f>+modelInfo!D52-modelInfo!I52*SIN(modelInfo!H52)*12</f>
        <v>52047.122544526894</v>
      </c>
      <c r="D310" s="2">
        <f>+modelInfo!G52+modelInfo!$P$4</f>
        <v>350.4</v>
      </c>
      <c r="E310" t="s">
        <v>345</v>
      </c>
    </row>
    <row r="311" spans="1:5" x14ac:dyDescent="0.2">
      <c r="A311" s="1" t="s">
        <v>329</v>
      </c>
      <c r="B311" s="2">
        <f>+modelInfo!C53+modelInfo!I53*COS(modelInfo!H53)*12</f>
        <v>7169.4818100700095</v>
      </c>
      <c r="C311" s="2">
        <f>+modelInfo!D53-modelInfo!I53*SIN(modelInfo!H53)*12</f>
        <v>53145.558684458934</v>
      </c>
      <c r="D311" s="2">
        <f>+modelInfo!G53+modelInfo!$P$4</f>
        <v>348</v>
      </c>
      <c r="E311" t="s">
        <v>345</v>
      </c>
    </row>
    <row r="312" spans="1:5" x14ac:dyDescent="0.2">
      <c r="A312" s="1" t="s">
        <v>330</v>
      </c>
      <c r="B312" s="2">
        <f>+modelInfo!C54+modelInfo!I54*COS(modelInfo!H54)*12</f>
        <v>7171.476252149113</v>
      </c>
      <c r="C312" s="2">
        <f>+modelInfo!D54-modelInfo!I54*SIN(modelInfo!H54)*12</f>
        <v>54508.555639826423</v>
      </c>
      <c r="D312" s="2">
        <f>+modelInfo!G54+modelInfo!$P$4</f>
        <v>349.20000000000005</v>
      </c>
      <c r="E312" t="s">
        <v>345</v>
      </c>
    </row>
    <row r="313" spans="1:5" x14ac:dyDescent="0.2">
      <c r="A313" s="1" t="s">
        <v>331</v>
      </c>
      <c r="B313" s="2">
        <f>+modelInfo!C55+modelInfo!I55*COS(modelInfo!H55)*12</f>
        <v>7172.4460834564488</v>
      </c>
      <c r="C313" s="2">
        <f>+modelInfo!D55-modelInfo!I55*SIN(modelInfo!H55)*12</f>
        <v>55417.169380778148</v>
      </c>
      <c r="D313" s="2">
        <f>+modelInfo!G55+modelInfo!$P$4</f>
        <v>357.6</v>
      </c>
      <c r="E313" t="s">
        <v>345</v>
      </c>
    </row>
    <row r="314" spans="1:5" x14ac:dyDescent="0.2">
      <c r="A314" s="1" t="s">
        <v>332</v>
      </c>
      <c r="B314" s="2">
        <f>+modelInfo!C56+modelInfo!I56*COS(modelInfo!H56)*12</f>
        <v>7173.0216997136886</v>
      </c>
      <c r="C314" s="2">
        <f>+modelInfo!D56-modelInfo!I56*SIN(modelInfo!H56)*12</f>
        <v>56334.34536455584</v>
      </c>
      <c r="D314" s="2">
        <f>+modelInfo!G56+modelInfo!$P$4</f>
        <v>354</v>
      </c>
      <c r="E314" t="s">
        <v>345</v>
      </c>
    </row>
    <row r="315" spans="1:5" x14ac:dyDescent="0.2">
      <c r="A315" s="1" t="s">
        <v>333</v>
      </c>
      <c r="B315" s="2">
        <f>+modelInfo!C57+modelInfo!I57*COS(modelInfo!H57)*12</f>
        <v>7173.0969866780351</v>
      </c>
      <c r="C315" s="2">
        <f>+modelInfo!D57-modelInfo!I57*SIN(modelInfo!H57)*12</f>
        <v>57246.41040845403</v>
      </c>
      <c r="D315" s="2">
        <f>+modelInfo!G57+modelInfo!$P$4</f>
        <v>363.6</v>
      </c>
      <c r="E315" t="s">
        <v>345</v>
      </c>
    </row>
    <row r="316" spans="1:5" x14ac:dyDescent="0.2">
      <c r="A316" s="1" t="s">
        <v>334</v>
      </c>
      <c r="B316" s="2">
        <f>+modelInfo!C58+modelInfo!I58*COS(modelInfo!H58)*12</f>
        <v>7172.586302685173</v>
      </c>
      <c r="C316" s="2">
        <f>+modelInfo!D58-modelInfo!I58*SIN(modelInfo!H58)*12</f>
        <v>58153.102562744716</v>
      </c>
      <c r="D316" s="2">
        <f>+modelInfo!G58+modelInfo!$P$4</f>
        <v>372</v>
      </c>
      <c r="E316" t="s">
        <v>345</v>
      </c>
    </row>
    <row r="317" spans="1:5" x14ac:dyDescent="0.2">
      <c r="A317" s="1" t="s">
        <v>335</v>
      </c>
      <c r="B317" s="2">
        <f>+modelInfo!C59+modelInfo!I59*COS(modelInfo!H59)*12</f>
        <v>7170.4999613061045</v>
      </c>
      <c r="C317" s="2">
        <f>+modelInfo!D59-modelInfo!I59*SIN(modelInfo!H59)*12</f>
        <v>59523.711751136238</v>
      </c>
      <c r="D317" s="2">
        <f>+modelInfo!G59+modelInfo!$P$4</f>
        <v>384</v>
      </c>
      <c r="E317" t="s">
        <v>345</v>
      </c>
    </row>
    <row r="318" spans="1:5" x14ac:dyDescent="0.2">
      <c r="A318" s="1" t="s">
        <v>336</v>
      </c>
      <c r="B318" s="2">
        <f>+modelInfo!C60+modelInfo!I60*COS(modelInfo!H60)*12</f>
        <v>7168.3399602529043</v>
      </c>
      <c r="C318" s="2">
        <f>+modelInfo!D60-modelInfo!I60*SIN(modelInfo!H60)*12</f>
        <v>60429.771892437813</v>
      </c>
      <c r="D318" s="2">
        <f>+modelInfo!G60+modelInfo!$P$4</f>
        <v>399.6</v>
      </c>
      <c r="E318" t="s">
        <v>345</v>
      </c>
    </row>
    <row r="319" spans="1:5" x14ac:dyDescent="0.2">
      <c r="A319" s="1" t="s">
        <v>337</v>
      </c>
      <c r="B319" s="2">
        <f>+modelInfo!C61+modelInfo!I61*COS(modelInfo!H61)*12</f>
        <v>7166.151081854242</v>
      </c>
      <c r="C319" s="2">
        <f>+modelInfo!D61-modelInfo!I61*SIN(modelInfo!H61)*12</f>
        <v>61345.917384610133</v>
      </c>
      <c r="D319" s="2">
        <f>+modelInfo!G61+modelInfo!$P$4</f>
        <v>412.79999999999995</v>
      </c>
      <c r="E319" t="s">
        <v>345</v>
      </c>
    </row>
    <row r="320" spans="1:5" x14ac:dyDescent="0.2">
      <c r="A320" s="1" t="s">
        <v>338</v>
      </c>
      <c r="B320" s="2">
        <f>+modelInfo!C62+modelInfo!I62*COS(modelInfo!H62)*12</f>
        <v>7164.6212970839324</v>
      </c>
      <c r="C320" s="2">
        <f>+modelInfo!D62-modelInfo!I62*SIN(modelInfo!H62)*12</f>
        <v>62257.973633669862</v>
      </c>
      <c r="D320" s="2">
        <f>+modelInfo!G62+modelInfo!$P$4</f>
        <v>422.4</v>
      </c>
      <c r="E320" t="s">
        <v>345</v>
      </c>
    </row>
    <row r="321" spans="1:5" x14ac:dyDescent="0.2">
      <c r="A321" s="1" t="s">
        <v>339</v>
      </c>
      <c r="B321" s="2">
        <f>+modelInfo!C63+modelInfo!I63*COS(modelInfo!H63)*12</f>
        <v>7164.3842266139654</v>
      </c>
      <c r="C321" s="2">
        <f>+modelInfo!D63-modelInfo!I63*SIN(modelInfo!H63)*12</f>
        <v>63156.422289993199</v>
      </c>
      <c r="D321" s="2">
        <f>+modelInfo!G63+modelInfo!$P$4</f>
        <v>427.20000000000005</v>
      </c>
      <c r="E321" t="s">
        <v>345</v>
      </c>
    </row>
    <row r="322" spans="1:5" x14ac:dyDescent="0.2">
      <c r="A322" s="1" t="s">
        <v>340</v>
      </c>
      <c r="B322" s="2">
        <f>+modelInfo!C64+modelInfo!I64*COS(modelInfo!H64)*12</f>
        <v>7167.867943582095</v>
      </c>
      <c r="C322" s="2">
        <f>+modelInfo!D64-modelInfo!I64*SIN(modelInfo!H64)*12</f>
        <v>64531.515957153548</v>
      </c>
      <c r="D322" s="2">
        <f>+modelInfo!G64+modelInfo!$P$4</f>
        <v>410.4</v>
      </c>
      <c r="E322" t="s">
        <v>345</v>
      </c>
    </row>
    <row r="323" spans="1:5" x14ac:dyDescent="0.2">
      <c r="A323" s="1" t="s">
        <v>341</v>
      </c>
      <c r="B323" s="2">
        <f>+modelInfo!C65+modelInfo!I65*COS(modelInfo!H65)*12</f>
        <v>7173.4337307120768</v>
      </c>
      <c r="C323" s="2">
        <f>+modelInfo!D65-modelInfo!I65*SIN(modelInfo!H65)*12</f>
        <v>65369.967027277104</v>
      </c>
      <c r="D323" s="2">
        <f>+modelInfo!G65+modelInfo!$P$4</f>
        <v>397.20000000000005</v>
      </c>
      <c r="E323" t="s">
        <v>345</v>
      </c>
    </row>
    <row r="324" spans="1:5" x14ac:dyDescent="0.2">
      <c r="A324" s="1" t="s">
        <v>342</v>
      </c>
      <c r="B324" s="2">
        <f>+modelInfo!C66+modelInfo!I66*COS(modelInfo!H66)*12</f>
        <v>7182.1772854492947</v>
      </c>
      <c r="C324" s="2">
        <f>+modelInfo!D66-modelInfo!I66*SIN(modelInfo!H66)*12</f>
        <v>66202.347417522338</v>
      </c>
      <c r="D324" s="2">
        <f>+modelInfo!G66+modelInfo!$P$4</f>
        <v>379.20000000000005</v>
      </c>
      <c r="E324" t="s">
        <v>345</v>
      </c>
    </row>
    <row r="325" spans="1:5" x14ac:dyDescent="0.2">
      <c r="A325" s="1" t="s">
        <v>343</v>
      </c>
      <c r="B325" s="2">
        <f>+modelInfo!C67+modelInfo!I67*COS(modelInfo!H67)*12</f>
        <v>7190.6904880971924</v>
      </c>
      <c r="C325" s="2">
        <f>+modelInfo!D67-modelInfo!I67*SIN(modelInfo!H67)*12</f>
        <v>66891.549393991678</v>
      </c>
      <c r="D325" s="2">
        <f>+modelInfo!G67+modelInfo!$P$4</f>
        <v>379.20000000000005</v>
      </c>
      <c r="E325" t="s">
        <v>345</v>
      </c>
    </row>
    <row r="326" spans="1:5" x14ac:dyDescent="0.2">
      <c r="A326" s="1" t="s">
        <v>344</v>
      </c>
      <c r="B326" s="2">
        <f>+modelInfo!C68+modelInfo!I68*COS(modelInfo!H68)*12</f>
        <v>7220.831418640797</v>
      </c>
      <c r="C326" s="2">
        <f>+modelInfo!D68-modelInfo!I68*SIN(modelInfo!H68)*12</f>
        <v>68402.544923776804</v>
      </c>
      <c r="D326" s="2">
        <f>+modelInfo!G68+modelInfo!$P$4</f>
        <v>379.20000000000005</v>
      </c>
      <c r="E326" t="s">
        <v>345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7DC9-C002-4DA6-B9B2-DF8A36FE633F}">
  <dimension ref="A1:F389"/>
  <sheetViews>
    <sheetView tabSelected="1" zoomScale="144" workbookViewId="0">
      <selection activeCell="F67" sqref="F67:F389"/>
    </sheetView>
  </sheetViews>
  <sheetFormatPr baseColWidth="10" defaultColWidth="8.83203125" defaultRowHeight="15" x14ac:dyDescent="0.2"/>
  <cols>
    <col min="1" max="1" width="11.33203125" style="1" customWidth="1"/>
  </cols>
  <sheetData>
    <row r="1" spans="1:6" x14ac:dyDescent="0.2">
      <c r="A1" s="1" t="s">
        <v>349</v>
      </c>
      <c r="B1" t="s">
        <v>346</v>
      </c>
      <c r="C1" t="s">
        <v>347</v>
      </c>
      <c r="D1" t="s">
        <v>348</v>
      </c>
      <c r="E1" t="s">
        <v>679</v>
      </c>
      <c r="F1" t="s">
        <v>680</v>
      </c>
    </row>
    <row r="2" spans="1:6" x14ac:dyDescent="0.2">
      <c r="A2" s="1" t="s">
        <v>351</v>
      </c>
      <c r="B2" s="1" t="str">
        <f>+nodeInfo!A2</f>
        <v>0010</v>
      </c>
      <c r="C2" s="1" t="str">
        <f>+nodeInfo!A67</f>
        <v>0011</v>
      </c>
      <c r="D2" t="s">
        <v>350</v>
      </c>
      <c r="E2" t="str">
        <f>modelInfo!J4</f>
        <v>5C</v>
      </c>
      <c r="F2">
        <v>25</v>
      </c>
    </row>
    <row r="3" spans="1:6" x14ac:dyDescent="0.2">
      <c r="A3" s="1" t="s">
        <v>352</v>
      </c>
      <c r="B3" s="1" t="str">
        <f>+nodeInfo!A3</f>
        <v>0110</v>
      </c>
      <c r="C3" s="1" t="str">
        <f>+nodeInfo!A68</f>
        <v>0111</v>
      </c>
      <c r="D3" t="s">
        <v>350</v>
      </c>
      <c r="E3" t="str">
        <f>modelInfo!J5</f>
        <v>5C</v>
      </c>
      <c r="F3">
        <v>25</v>
      </c>
    </row>
    <row r="4" spans="1:6" x14ac:dyDescent="0.2">
      <c r="A4" s="1" t="s">
        <v>353</v>
      </c>
      <c r="B4" s="1" t="str">
        <f>+nodeInfo!A4</f>
        <v>0210</v>
      </c>
      <c r="C4" s="1" t="str">
        <f>+nodeInfo!A69</f>
        <v>0211</v>
      </c>
      <c r="D4" t="s">
        <v>350</v>
      </c>
      <c r="E4" t="str">
        <f>modelInfo!J6</f>
        <v>5C</v>
      </c>
      <c r="F4">
        <v>25</v>
      </c>
    </row>
    <row r="5" spans="1:6" x14ac:dyDescent="0.2">
      <c r="A5" s="1" t="s">
        <v>354</v>
      </c>
      <c r="B5" s="1" t="str">
        <f>+nodeInfo!A5</f>
        <v>0310</v>
      </c>
      <c r="C5" s="1" t="str">
        <f>+nodeInfo!A70</f>
        <v>0311</v>
      </c>
      <c r="D5" t="s">
        <v>350</v>
      </c>
      <c r="E5" t="str">
        <f>modelInfo!J7</f>
        <v>5C</v>
      </c>
      <c r="F5">
        <v>25</v>
      </c>
    </row>
    <row r="6" spans="1:6" x14ac:dyDescent="0.2">
      <c r="A6" s="1" t="s">
        <v>355</v>
      </c>
      <c r="B6" s="1" t="str">
        <f>+nodeInfo!A6</f>
        <v>0410</v>
      </c>
      <c r="C6" s="1" t="str">
        <f>+nodeInfo!A71</f>
        <v>0411</v>
      </c>
      <c r="D6" t="s">
        <v>350</v>
      </c>
      <c r="E6" t="str">
        <f>modelInfo!J8</f>
        <v>5C</v>
      </c>
      <c r="F6">
        <v>25</v>
      </c>
    </row>
    <row r="7" spans="1:6" x14ac:dyDescent="0.2">
      <c r="A7" s="1" t="s">
        <v>356</v>
      </c>
      <c r="B7" s="1" t="str">
        <f>+nodeInfo!A7</f>
        <v>0510</v>
      </c>
      <c r="C7" s="1" t="str">
        <f>+nodeInfo!A72</f>
        <v>0511</v>
      </c>
      <c r="D7" t="s">
        <v>350</v>
      </c>
      <c r="E7" t="str">
        <f>modelInfo!J9</f>
        <v>6C</v>
      </c>
      <c r="F7">
        <v>25</v>
      </c>
    </row>
    <row r="8" spans="1:6" x14ac:dyDescent="0.2">
      <c r="A8" s="1" t="s">
        <v>357</v>
      </c>
      <c r="B8" s="1" t="str">
        <f>+nodeInfo!A8</f>
        <v>0610</v>
      </c>
      <c r="C8" s="1" t="str">
        <f>+nodeInfo!A73</f>
        <v>0611</v>
      </c>
      <c r="D8" t="s">
        <v>350</v>
      </c>
      <c r="E8" t="str">
        <f>modelInfo!J10</f>
        <v>6C</v>
      </c>
      <c r="F8">
        <v>25</v>
      </c>
    </row>
    <row r="9" spans="1:6" x14ac:dyDescent="0.2">
      <c r="A9" s="1" t="s">
        <v>358</v>
      </c>
      <c r="B9" s="1" t="str">
        <f>+nodeInfo!A9</f>
        <v>0710</v>
      </c>
      <c r="C9" s="1" t="str">
        <f>+nodeInfo!A74</f>
        <v>0711</v>
      </c>
      <c r="D9" t="s">
        <v>350</v>
      </c>
      <c r="E9" t="str">
        <f>modelInfo!J11</f>
        <v>5C</v>
      </c>
      <c r="F9">
        <v>25</v>
      </c>
    </row>
    <row r="10" spans="1:6" x14ac:dyDescent="0.2">
      <c r="A10" s="1" t="s">
        <v>359</v>
      </c>
      <c r="B10" s="1" t="str">
        <f>+nodeInfo!A10</f>
        <v>0810</v>
      </c>
      <c r="C10" s="1" t="str">
        <f>+nodeInfo!A75</f>
        <v>0811</v>
      </c>
      <c r="D10" t="s">
        <v>350</v>
      </c>
      <c r="E10" t="str">
        <f>modelInfo!J12</f>
        <v>5C</v>
      </c>
      <c r="F10">
        <v>25</v>
      </c>
    </row>
    <row r="11" spans="1:6" x14ac:dyDescent="0.2">
      <c r="A11" s="1" t="s">
        <v>360</v>
      </c>
      <c r="B11" s="1" t="str">
        <f>+nodeInfo!A11</f>
        <v>0910</v>
      </c>
      <c r="C11" s="1" t="str">
        <f>+nodeInfo!A76</f>
        <v>0911</v>
      </c>
      <c r="D11" t="s">
        <v>350</v>
      </c>
      <c r="E11" t="str">
        <f>modelInfo!J13</f>
        <v>5C</v>
      </c>
      <c r="F11">
        <v>25</v>
      </c>
    </row>
    <row r="12" spans="1:6" x14ac:dyDescent="0.2">
      <c r="A12" s="1" t="s">
        <v>361</v>
      </c>
      <c r="B12" s="1" t="str">
        <f>+nodeInfo!A12</f>
        <v>1010</v>
      </c>
      <c r="C12" s="1" t="str">
        <f>+nodeInfo!A77</f>
        <v>1011</v>
      </c>
      <c r="D12" t="s">
        <v>350</v>
      </c>
      <c r="E12" t="str">
        <f>modelInfo!J14</f>
        <v>6C</v>
      </c>
      <c r="F12">
        <v>25</v>
      </c>
    </row>
    <row r="13" spans="1:6" x14ac:dyDescent="0.2">
      <c r="A13" s="1" t="s">
        <v>362</v>
      </c>
      <c r="B13" s="1" t="str">
        <f>+nodeInfo!A13</f>
        <v>1110</v>
      </c>
      <c r="C13" s="1" t="str">
        <f>+nodeInfo!A78</f>
        <v>1111</v>
      </c>
      <c r="D13" t="s">
        <v>350</v>
      </c>
      <c r="E13" t="str">
        <f>modelInfo!J15</f>
        <v>6C</v>
      </c>
      <c r="F13">
        <v>25</v>
      </c>
    </row>
    <row r="14" spans="1:6" x14ac:dyDescent="0.2">
      <c r="A14" s="1" t="s">
        <v>363</v>
      </c>
      <c r="B14" s="1" t="str">
        <f>+nodeInfo!A14</f>
        <v>1210</v>
      </c>
      <c r="C14" s="1" t="str">
        <f>+nodeInfo!A79</f>
        <v>1211</v>
      </c>
      <c r="D14" t="s">
        <v>350</v>
      </c>
      <c r="E14" t="str">
        <f>modelInfo!J16</f>
        <v>5C</v>
      </c>
      <c r="F14">
        <v>25</v>
      </c>
    </row>
    <row r="15" spans="1:6" x14ac:dyDescent="0.2">
      <c r="A15" s="1" t="s">
        <v>364</v>
      </c>
      <c r="B15" s="1" t="str">
        <f>+nodeInfo!A15</f>
        <v>1310</v>
      </c>
      <c r="C15" s="1" t="str">
        <f>+nodeInfo!A80</f>
        <v>1311</v>
      </c>
      <c r="D15" t="s">
        <v>350</v>
      </c>
      <c r="E15" t="str">
        <f>modelInfo!J17</f>
        <v>5C</v>
      </c>
      <c r="F15">
        <v>25</v>
      </c>
    </row>
    <row r="16" spans="1:6" x14ac:dyDescent="0.2">
      <c r="A16" s="1" t="s">
        <v>365</v>
      </c>
      <c r="B16" s="1" t="str">
        <f>+nodeInfo!A16</f>
        <v>1410</v>
      </c>
      <c r="C16" s="1" t="str">
        <f>+nodeInfo!A81</f>
        <v>1411</v>
      </c>
      <c r="D16" t="s">
        <v>350</v>
      </c>
      <c r="E16" t="str">
        <f>modelInfo!J18</f>
        <v>5C</v>
      </c>
      <c r="F16">
        <v>25</v>
      </c>
    </row>
    <row r="17" spans="1:6" x14ac:dyDescent="0.2">
      <c r="A17" s="1" t="s">
        <v>366</v>
      </c>
      <c r="B17" s="1" t="str">
        <f>+nodeInfo!A17</f>
        <v>1510</v>
      </c>
      <c r="C17" s="1" t="str">
        <f>+nodeInfo!A82</f>
        <v>1511</v>
      </c>
      <c r="D17" t="s">
        <v>350</v>
      </c>
      <c r="E17" t="str">
        <f>modelInfo!J19</f>
        <v>6C</v>
      </c>
      <c r="F17">
        <v>25</v>
      </c>
    </row>
    <row r="18" spans="1:6" x14ac:dyDescent="0.2">
      <c r="A18" s="1" t="s">
        <v>367</v>
      </c>
      <c r="B18" s="1" t="str">
        <f>+nodeInfo!A18</f>
        <v>1610</v>
      </c>
      <c r="C18" s="1" t="str">
        <f>+nodeInfo!A83</f>
        <v>1611</v>
      </c>
      <c r="D18" t="s">
        <v>350</v>
      </c>
      <c r="E18" t="str">
        <f>modelInfo!J20</f>
        <v>6C</v>
      </c>
      <c r="F18">
        <v>25</v>
      </c>
    </row>
    <row r="19" spans="1:6" x14ac:dyDescent="0.2">
      <c r="A19" s="1" t="s">
        <v>368</v>
      </c>
      <c r="B19" s="1" t="str">
        <f>+nodeInfo!A19</f>
        <v>1710</v>
      </c>
      <c r="C19" s="1" t="str">
        <f>+nodeInfo!A84</f>
        <v>1711</v>
      </c>
      <c r="D19" t="s">
        <v>350</v>
      </c>
      <c r="E19" t="str">
        <f>modelInfo!J21</f>
        <v>5C</v>
      </c>
      <c r="F19">
        <v>25</v>
      </c>
    </row>
    <row r="20" spans="1:6" x14ac:dyDescent="0.2">
      <c r="A20" s="1" t="s">
        <v>369</v>
      </c>
      <c r="B20" s="1" t="str">
        <f>+nodeInfo!A20</f>
        <v>1810</v>
      </c>
      <c r="C20" s="1" t="str">
        <f>+nodeInfo!A85</f>
        <v>1811</v>
      </c>
      <c r="D20" t="s">
        <v>350</v>
      </c>
      <c r="E20" t="str">
        <f>modelInfo!J22</f>
        <v>5C</v>
      </c>
      <c r="F20">
        <v>25</v>
      </c>
    </row>
    <row r="21" spans="1:6" x14ac:dyDescent="0.2">
      <c r="A21" s="1" t="s">
        <v>370</v>
      </c>
      <c r="B21" s="1" t="str">
        <f>+nodeInfo!A21</f>
        <v>1910</v>
      </c>
      <c r="C21" s="1" t="str">
        <f>+nodeInfo!A86</f>
        <v>1911</v>
      </c>
      <c r="D21" t="s">
        <v>350</v>
      </c>
      <c r="E21" t="str">
        <f>modelInfo!J23</f>
        <v>5C</v>
      </c>
      <c r="F21">
        <v>25</v>
      </c>
    </row>
    <row r="22" spans="1:6" x14ac:dyDescent="0.2">
      <c r="A22" s="1" t="s">
        <v>371</v>
      </c>
      <c r="B22" s="1" t="str">
        <f>+nodeInfo!A22</f>
        <v>2010</v>
      </c>
      <c r="C22" s="1" t="str">
        <f>+nodeInfo!A87</f>
        <v>2011</v>
      </c>
      <c r="D22" t="s">
        <v>350</v>
      </c>
      <c r="E22" t="str">
        <f>modelInfo!J24</f>
        <v>5C</v>
      </c>
      <c r="F22">
        <v>25</v>
      </c>
    </row>
    <row r="23" spans="1:6" x14ac:dyDescent="0.2">
      <c r="A23" s="1" t="s">
        <v>372</v>
      </c>
      <c r="B23" s="1" t="str">
        <f>+nodeInfo!A23</f>
        <v>2110</v>
      </c>
      <c r="C23" s="1" t="str">
        <f>+nodeInfo!A88</f>
        <v>2111</v>
      </c>
      <c r="D23" t="s">
        <v>350</v>
      </c>
      <c r="E23" t="str">
        <f>modelInfo!J25</f>
        <v>5C</v>
      </c>
      <c r="F23">
        <v>25</v>
      </c>
    </row>
    <row r="24" spans="1:6" x14ac:dyDescent="0.2">
      <c r="A24" s="1" t="s">
        <v>373</v>
      </c>
      <c r="B24" s="1" t="str">
        <f>+nodeInfo!A24</f>
        <v>2210</v>
      </c>
      <c r="C24" s="1" t="str">
        <f>+nodeInfo!A89</f>
        <v>2211</v>
      </c>
      <c r="D24" t="s">
        <v>350</v>
      </c>
      <c r="E24" t="str">
        <f>modelInfo!J26</f>
        <v>5C</v>
      </c>
      <c r="F24">
        <v>25</v>
      </c>
    </row>
    <row r="25" spans="1:6" x14ac:dyDescent="0.2">
      <c r="A25" s="1" t="s">
        <v>374</v>
      </c>
      <c r="B25" s="1" t="str">
        <f>+nodeInfo!A25</f>
        <v>2310</v>
      </c>
      <c r="C25" s="1" t="str">
        <f>+nodeInfo!A90</f>
        <v>2311</v>
      </c>
      <c r="D25" t="s">
        <v>350</v>
      </c>
      <c r="E25" t="str">
        <f>modelInfo!J27</f>
        <v>5C</v>
      </c>
      <c r="F25">
        <v>25</v>
      </c>
    </row>
    <row r="26" spans="1:6" x14ac:dyDescent="0.2">
      <c r="A26" s="1" t="s">
        <v>375</v>
      </c>
      <c r="B26" s="1" t="str">
        <f>+nodeInfo!A26</f>
        <v>2410</v>
      </c>
      <c r="C26" s="1" t="str">
        <f>+nodeInfo!A91</f>
        <v>2411</v>
      </c>
      <c r="D26" t="s">
        <v>350</v>
      </c>
      <c r="E26" t="str">
        <f>modelInfo!J28</f>
        <v>5C</v>
      </c>
      <c r="F26">
        <v>25</v>
      </c>
    </row>
    <row r="27" spans="1:6" x14ac:dyDescent="0.2">
      <c r="A27" s="1" t="s">
        <v>376</v>
      </c>
      <c r="B27" s="1" t="str">
        <f>+nodeInfo!A27</f>
        <v>2510</v>
      </c>
      <c r="C27" s="1" t="str">
        <f>+nodeInfo!A92</f>
        <v>2511</v>
      </c>
      <c r="D27" t="s">
        <v>350</v>
      </c>
      <c r="E27" t="str">
        <f>modelInfo!J29</f>
        <v>5C</v>
      </c>
      <c r="F27">
        <v>25</v>
      </c>
    </row>
    <row r="28" spans="1:6" x14ac:dyDescent="0.2">
      <c r="A28" s="1" t="s">
        <v>377</v>
      </c>
      <c r="B28" s="1" t="str">
        <f>+nodeInfo!A28</f>
        <v>2610</v>
      </c>
      <c r="C28" s="1" t="str">
        <f>+nodeInfo!A93</f>
        <v>2611</v>
      </c>
      <c r="D28" t="s">
        <v>350</v>
      </c>
      <c r="E28" t="str">
        <f>modelInfo!J30</f>
        <v>5B</v>
      </c>
      <c r="F28">
        <v>25</v>
      </c>
    </row>
    <row r="29" spans="1:6" x14ac:dyDescent="0.2">
      <c r="A29" s="1" t="s">
        <v>378</v>
      </c>
      <c r="B29" s="1" t="str">
        <f>+nodeInfo!A29</f>
        <v>2710</v>
      </c>
      <c r="C29" s="1" t="str">
        <f>+nodeInfo!A94</f>
        <v>2711</v>
      </c>
      <c r="D29" t="s">
        <v>350</v>
      </c>
      <c r="E29" t="str">
        <f>modelInfo!J31</f>
        <v>5B</v>
      </c>
      <c r="F29">
        <v>25</v>
      </c>
    </row>
    <row r="30" spans="1:6" x14ac:dyDescent="0.2">
      <c r="A30" s="1" t="s">
        <v>379</v>
      </c>
      <c r="B30" s="1" t="str">
        <f>+nodeInfo!A30</f>
        <v>2810</v>
      </c>
      <c r="C30" s="1" t="str">
        <f>+nodeInfo!A95</f>
        <v>2811</v>
      </c>
      <c r="D30" t="s">
        <v>350</v>
      </c>
      <c r="E30" t="str">
        <f>modelInfo!J32</f>
        <v>5A</v>
      </c>
      <c r="F30">
        <v>25</v>
      </c>
    </row>
    <row r="31" spans="1:6" x14ac:dyDescent="0.2">
      <c r="A31" s="1" t="s">
        <v>380</v>
      </c>
      <c r="B31" s="1" t="str">
        <f>+nodeInfo!A31</f>
        <v>2910</v>
      </c>
      <c r="C31" s="1" t="str">
        <f>+nodeInfo!A96</f>
        <v>2911</v>
      </c>
      <c r="D31" t="s">
        <v>350</v>
      </c>
      <c r="E31" t="str">
        <f>modelInfo!J33</f>
        <v>5A</v>
      </c>
      <c r="F31">
        <v>25</v>
      </c>
    </row>
    <row r="32" spans="1:6" x14ac:dyDescent="0.2">
      <c r="A32" s="1" t="s">
        <v>381</v>
      </c>
      <c r="B32" s="1" t="str">
        <f>+nodeInfo!A32</f>
        <v>3010</v>
      </c>
      <c r="C32" s="1" t="str">
        <f>+nodeInfo!A97</f>
        <v>3011</v>
      </c>
      <c r="D32" t="s">
        <v>350</v>
      </c>
      <c r="E32" t="str">
        <f>modelInfo!J34</f>
        <v>5A</v>
      </c>
      <c r="F32">
        <v>25</v>
      </c>
    </row>
    <row r="33" spans="1:6" x14ac:dyDescent="0.2">
      <c r="A33" s="1" t="s">
        <v>382</v>
      </c>
      <c r="B33" s="1" t="str">
        <f>+nodeInfo!A33</f>
        <v>3110</v>
      </c>
      <c r="C33" s="1" t="str">
        <f>+nodeInfo!A98</f>
        <v>3111</v>
      </c>
      <c r="D33" t="s">
        <v>350</v>
      </c>
      <c r="E33" t="str">
        <f>modelInfo!J35</f>
        <v>5A</v>
      </c>
      <c r="F33">
        <v>25</v>
      </c>
    </row>
    <row r="34" spans="1:6" x14ac:dyDescent="0.2">
      <c r="A34" s="1" t="s">
        <v>383</v>
      </c>
      <c r="B34" s="1" t="str">
        <f>+nodeInfo!A34</f>
        <v>3210</v>
      </c>
      <c r="C34" s="1" t="str">
        <f>+nodeInfo!A99</f>
        <v>3211</v>
      </c>
      <c r="D34" t="s">
        <v>350</v>
      </c>
      <c r="E34" t="str">
        <f>modelInfo!J36</f>
        <v>5A</v>
      </c>
      <c r="F34">
        <v>25</v>
      </c>
    </row>
    <row r="35" spans="1:6" x14ac:dyDescent="0.2">
      <c r="A35" s="1" t="s">
        <v>384</v>
      </c>
      <c r="B35" s="1" t="str">
        <f>+nodeInfo!A35</f>
        <v>3310</v>
      </c>
      <c r="C35" s="1" t="str">
        <f>+nodeInfo!A100</f>
        <v>3311</v>
      </c>
      <c r="D35" t="s">
        <v>350</v>
      </c>
      <c r="E35" t="str">
        <f>modelInfo!J37</f>
        <v>5A</v>
      </c>
      <c r="F35">
        <v>25</v>
      </c>
    </row>
    <row r="36" spans="1:6" x14ac:dyDescent="0.2">
      <c r="A36" s="1" t="s">
        <v>385</v>
      </c>
      <c r="B36" s="1" t="str">
        <f>+nodeInfo!A36</f>
        <v>3410</v>
      </c>
      <c r="C36" s="1" t="str">
        <f>+nodeInfo!A101</f>
        <v>3411</v>
      </c>
      <c r="D36" t="s">
        <v>350</v>
      </c>
      <c r="E36" t="str">
        <f>modelInfo!J38</f>
        <v>5A</v>
      </c>
      <c r="F36">
        <v>25</v>
      </c>
    </row>
    <row r="37" spans="1:6" x14ac:dyDescent="0.2">
      <c r="A37" s="1" t="s">
        <v>386</v>
      </c>
      <c r="B37" s="1" t="str">
        <f>+nodeInfo!A37</f>
        <v>3510</v>
      </c>
      <c r="C37" s="1" t="str">
        <f>+nodeInfo!A102</f>
        <v>3511</v>
      </c>
      <c r="D37" t="s">
        <v>350</v>
      </c>
      <c r="E37" t="str">
        <f>modelInfo!J39</f>
        <v>5A</v>
      </c>
      <c r="F37">
        <v>25</v>
      </c>
    </row>
    <row r="38" spans="1:6" x14ac:dyDescent="0.2">
      <c r="A38" s="1" t="s">
        <v>387</v>
      </c>
      <c r="B38" s="1" t="str">
        <f>+nodeInfo!A38</f>
        <v>3610</v>
      </c>
      <c r="C38" s="1" t="str">
        <f>+nodeInfo!A103</f>
        <v>3611</v>
      </c>
      <c r="D38" t="s">
        <v>350</v>
      </c>
      <c r="E38" t="str">
        <f>modelInfo!J40</f>
        <v>5A</v>
      </c>
      <c r="F38">
        <v>25</v>
      </c>
    </row>
    <row r="39" spans="1:6" x14ac:dyDescent="0.2">
      <c r="A39" s="1" t="s">
        <v>388</v>
      </c>
      <c r="B39" s="1" t="str">
        <f>+nodeInfo!A39</f>
        <v>3710</v>
      </c>
      <c r="C39" s="1" t="str">
        <f>+nodeInfo!A104</f>
        <v>3711</v>
      </c>
      <c r="D39" t="s">
        <v>350</v>
      </c>
      <c r="E39" t="str">
        <f>modelInfo!J41</f>
        <v>5A</v>
      </c>
      <c r="F39">
        <v>25</v>
      </c>
    </row>
    <row r="40" spans="1:6" x14ac:dyDescent="0.2">
      <c r="A40" s="1" t="s">
        <v>389</v>
      </c>
      <c r="B40" s="1" t="str">
        <f>+nodeInfo!A40</f>
        <v>3810</v>
      </c>
      <c r="C40" s="1" t="str">
        <f>+nodeInfo!A105</f>
        <v>3811</v>
      </c>
      <c r="D40" t="s">
        <v>350</v>
      </c>
      <c r="E40" t="str">
        <f>modelInfo!J42</f>
        <v>5A</v>
      </c>
      <c r="F40">
        <v>25</v>
      </c>
    </row>
    <row r="41" spans="1:6" x14ac:dyDescent="0.2">
      <c r="A41" s="1" t="s">
        <v>390</v>
      </c>
      <c r="B41" s="1" t="str">
        <f>+nodeInfo!A41</f>
        <v>3910</v>
      </c>
      <c r="C41" s="1" t="str">
        <f>+nodeInfo!A106</f>
        <v>3911</v>
      </c>
      <c r="D41" t="s">
        <v>350</v>
      </c>
      <c r="E41" t="str">
        <f>modelInfo!J43</f>
        <v>5A</v>
      </c>
      <c r="F41">
        <v>25</v>
      </c>
    </row>
    <row r="42" spans="1:6" x14ac:dyDescent="0.2">
      <c r="A42" s="1" t="s">
        <v>391</v>
      </c>
      <c r="B42" s="1" t="str">
        <f>+nodeInfo!A42</f>
        <v>4010</v>
      </c>
      <c r="C42" s="1" t="str">
        <f>+nodeInfo!A107</f>
        <v>4011</v>
      </c>
      <c r="D42" t="s">
        <v>350</v>
      </c>
      <c r="E42" t="str">
        <f>modelInfo!J44</f>
        <v>5A</v>
      </c>
      <c r="F42">
        <v>25</v>
      </c>
    </row>
    <row r="43" spans="1:6" x14ac:dyDescent="0.2">
      <c r="A43" s="1" t="s">
        <v>392</v>
      </c>
      <c r="B43" s="1" t="str">
        <f>+nodeInfo!A43</f>
        <v>4110</v>
      </c>
      <c r="C43" s="1" t="str">
        <f>+nodeInfo!A108</f>
        <v>4111</v>
      </c>
      <c r="D43" t="s">
        <v>350</v>
      </c>
      <c r="E43" t="str">
        <f>modelInfo!J45</f>
        <v>5A</v>
      </c>
      <c r="F43">
        <v>25</v>
      </c>
    </row>
    <row r="44" spans="1:6" x14ac:dyDescent="0.2">
      <c r="A44" s="1" t="s">
        <v>393</v>
      </c>
      <c r="B44" s="1" t="str">
        <f>+nodeInfo!A44</f>
        <v>4210</v>
      </c>
      <c r="C44" s="1" t="str">
        <f>+nodeInfo!A109</f>
        <v>4211</v>
      </c>
      <c r="D44" t="s">
        <v>350</v>
      </c>
      <c r="E44" t="str">
        <f>modelInfo!J46</f>
        <v>5A</v>
      </c>
      <c r="F44">
        <v>25</v>
      </c>
    </row>
    <row r="45" spans="1:6" x14ac:dyDescent="0.2">
      <c r="A45" s="1" t="s">
        <v>394</v>
      </c>
      <c r="B45" s="1" t="str">
        <f>+nodeInfo!A45</f>
        <v>4310</v>
      </c>
      <c r="C45" s="1" t="str">
        <f>+nodeInfo!A110</f>
        <v>4311</v>
      </c>
      <c r="D45" t="s">
        <v>350</v>
      </c>
      <c r="E45" t="str">
        <f>modelInfo!J47</f>
        <v>5A</v>
      </c>
      <c r="F45">
        <v>25</v>
      </c>
    </row>
    <row r="46" spans="1:6" x14ac:dyDescent="0.2">
      <c r="A46" s="1" t="s">
        <v>395</v>
      </c>
      <c r="B46" s="1" t="str">
        <f>+nodeInfo!A46</f>
        <v>4410</v>
      </c>
      <c r="C46" s="1" t="str">
        <f>+nodeInfo!A111</f>
        <v>4411</v>
      </c>
      <c r="D46" t="s">
        <v>350</v>
      </c>
      <c r="E46" t="str">
        <f>modelInfo!J48</f>
        <v>5A</v>
      </c>
      <c r="F46">
        <v>25</v>
      </c>
    </row>
    <row r="47" spans="1:6" x14ac:dyDescent="0.2">
      <c r="A47" s="1" t="s">
        <v>396</v>
      </c>
      <c r="B47" s="1" t="str">
        <f>+nodeInfo!A47</f>
        <v>4510</v>
      </c>
      <c r="C47" s="1" t="str">
        <f>+nodeInfo!A112</f>
        <v>4511</v>
      </c>
      <c r="D47" t="s">
        <v>350</v>
      </c>
      <c r="E47" t="str">
        <f>modelInfo!J49</f>
        <v>5A</v>
      </c>
      <c r="F47">
        <v>25</v>
      </c>
    </row>
    <row r="48" spans="1:6" x14ac:dyDescent="0.2">
      <c r="A48" s="1" t="s">
        <v>397</v>
      </c>
      <c r="B48" s="1" t="str">
        <f>+nodeInfo!A48</f>
        <v>4610</v>
      </c>
      <c r="C48" s="1" t="str">
        <f>+nodeInfo!A113</f>
        <v>4611</v>
      </c>
      <c r="D48" t="s">
        <v>350</v>
      </c>
      <c r="E48" t="str">
        <f>modelInfo!J50</f>
        <v>5A</v>
      </c>
      <c r="F48">
        <v>25</v>
      </c>
    </row>
    <row r="49" spans="1:6" x14ac:dyDescent="0.2">
      <c r="A49" s="1" t="s">
        <v>398</v>
      </c>
      <c r="B49" s="1" t="str">
        <f>+nodeInfo!A49</f>
        <v>4710</v>
      </c>
      <c r="C49" s="1" t="str">
        <f>+nodeInfo!A114</f>
        <v>4711</v>
      </c>
      <c r="D49" t="s">
        <v>350</v>
      </c>
      <c r="E49" t="str">
        <f>modelInfo!J51</f>
        <v>5A</v>
      </c>
      <c r="F49">
        <v>25</v>
      </c>
    </row>
    <row r="50" spans="1:6" x14ac:dyDescent="0.2">
      <c r="A50" s="1" t="s">
        <v>399</v>
      </c>
      <c r="B50" s="1" t="str">
        <f>+nodeInfo!A50</f>
        <v>4810</v>
      </c>
      <c r="C50" s="1" t="str">
        <f>+nodeInfo!A115</f>
        <v>4811</v>
      </c>
      <c r="D50" t="s">
        <v>350</v>
      </c>
      <c r="E50" t="str">
        <f>modelInfo!J52</f>
        <v>5A</v>
      </c>
      <c r="F50">
        <v>25</v>
      </c>
    </row>
    <row r="51" spans="1:6" x14ac:dyDescent="0.2">
      <c r="A51" s="1" t="s">
        <v>400</v>
      </c>
      <c r="B51" s="1" t="str">
        <f>+nodeInfo!A51</f>
        <v>4910</v>
      </c>
      <c r="C51" s="1" t="str">
        <f>+nodeInfo!A116</f>
        <v>4911</v>
      </c>
      <c r="D51" t="s">
        <v>350</v>
      </c>
      <c r="E51" t="str">
        <f>modelInfo!J53</f>
        <v>5A</v>
      </c>
      <c r="F51">
        <v>25</v>
      </c>
    </row>
    <row r="52" spans="1:6" x14ac:dyDescent="0.2">
      <c r="A52" s="1" t="s">
        <v>401</v>
      </c>
      <c r="B52" s="1" t="str">
        <f>+nodeInfo!A52</f>
        <v>5010</v>
      </c>
      <c r="C52" s="1" t="str">
        <f>+nodeInfo!A117</f>
        <v>5011</v>
      </c>
      <c r="D52" t="s">
        <v>350</v>
      </c>
      <c r="E52" t="str">
        <f>modelInfo!J54</f>
        <v>5A</v>
      </c>
      <c r="F52">
        <v>25</v>
      </c>
    </row>
    <row r="53" spans="1:6" x14ac:dyDescent="0.2">
      <c r="A53" s="1" t="s">
        <v>402</v>
      </c>
      <c r="B53" s="1" t="str">
        <f>+nodeInfo!A53</f>
        <v>5110</v>
      </c>
      <c r="C53" s="1" t="str">
        <f>+nodeInfo!A118</f>
        <v>5111</v>
      </c>
      <c r="D53" t="s">
        <v>350</v>
      </c>
      <c r="E53" t="str">
        <f>modelInfo!J55</f>
        <v>5A</v>
      </c>
      <c r="F53">
        <v>25</v>
      </c>
    </row>
    <row r="54" spans="1:6" x14ac:dyDescent="0.2">
      <c r="A54" s="1" t="s">
        <v>403</v>
      </c>
      <c r="B54" s="1" t="str">
        <f>+nodeInfo!A54</f>
        <v>5210</v>
      </c>
      <c r="C54" s="1" t="str">
        <f>+nodeInfo!A119</f>
        <v>5211</v>
      </c>
      <c r="D54" t="s">
        <v>350</v>
      </c>
      <c r="E54" t="str">
        <f>modelInfo!J56</f>
        <v>5A</v>
      </c>
      <c r="F54">
        <v>25</v>
      </c>
    </row>
    <row r="55" spans="1:6" x14ac:dyDescent="0.2">
      <c r="A55" s="1" t="s">
        <v>404</v>
      </c>
      <c r="B55" s="1" t="str">
        <f>+nodeInfo!A55</f>
        <v>5310</v>
      </c>
      <c r="C55" s="1" t="str">
        <f>+nodeInfo!A120</f>
        <v>5311</v>
      </c>
      <c r="D55" t="s">
        <v>350</v>
      </c>
      <c r="E55" t="str">
        <f>modelInfo!J57</f>
        <v>5A</v>
      </c>
      <c r="F55">
        <v>25</v>
      </c>
    </row>
    <row r="56" spans="1:6" x14ac:dyDescent="0.2">
      <c r="A56" s="1" t="s">
        <v>405</v>
      </c>
      <c r="B56" s="1" t="str">
        <f>+nodeInfo!A56</f>
        <v>5410</v>
      </c>
      <c r="C56" s="1" t="str">
        <f>+nodeInfo!A121</f>
        <v>5411</v>
      </c>
      <c r="D56" t="s">
        <v>350</v>
      </c>
      <c r="E56" t="str">
        <f>modelInfo!J58</f>
        <v>5A</v>
      </c>
      <c r="F56">
        <v>25</v>
      </c>
    </row>
    <row r="57" spans="1:6" x14ac:dyDescent="0.2">
      <c r="A57" s="1" t="s">
        <v>406</v>
      </c>
      <c r="B57" s="1" t="str">
        <f>+nodeInfo!A57</f>
        <v>5510</v>
      </c>
      <c r="C57" s="1" t="str">
        <f>+nodeInfo!A122</f>
        <v>5511</v>
      </c>
      <c r="D57" t="s">
        <v>350</v>
      </c>
      <c r="E57" t="str">
        <f>modelInfo!J59</f>
        <v>5A</v>
      </c>
      <c r="F57">
        <v>25</v>
      </c>
    </row>
    <row r="58" spans="1:6" x14ac:dyDescent="0.2">
      <c r="A58" s="1" t="s">
        <v>407</v>
      </c>
      <c r="B58" s="1" t="str">
        <f>+nodeInfo!A58</f>
        <v>5610</v>
      </c>
      <c r="C58" s="1" t="str">
        <f>+nodeInfo!A123</f>
        <v>5611</v>
      </c>
      <c r="D58" t="s">
        <v>350</v>
      </c>
      <c r="E58" t="str">
        <f>modelInfo!J60</f>
        <v>5A</v>
      </c>
      <c r="F58">
        <v>25</v>
      </c>
    </row>
    <row r="59" spans="1:6" x14ac:dyDescent="0.2">
      <c r="A59" s="1" t="s">
        <v>408</v>
      </c>
      <c r="B59" s="1" t="str">
        <f>+nodeInfo!A59</f>
        <v>5710</v>
      </c>
      <c r="C59" s="1" t="str">
        <f>+nodeInfo!A124</f>
        <v>5711</v>
      </c>
      <c r="D59" t="s">
        <v>350</v>
      </c>
      <c r="E59" t="str">
        <f>modelInfo!J61</f>
        <v>5A</v>
      </c>
      <c r="F59">
        <v>25</v>
      </c>
    </row>
    <row r="60" spans="1:6" x14ac:dyDescent="0.2">
      <c r="A60" s="1" t="s">
        <v>409</v>
      </c>
      <c r="B60" s="1" t="str">
        <f>+nodeInfo!A60</f>
        <v>5810</v>
      </c>
      <c r="C60" s="1" t="str">
        <f>+nodeInfo!A125</f>
        <v>5811</v>
      </c>
      <c r="D60" t="s">
        <v>350</v>
      </c>
      <c r="E60" t="str">
        <f>modelInfo!J62</f>
        <v>5A</v>
      </c>
      <c r="F60">
        <v>25</v>
      </c>
    </row>
    <row r="61" spans="1:6" x14ac:dyDescent="0.2">
      <c r="A61" s="1" t="s">
        <v>410</v>
      </c>
      <c r="B61" s="1" t="str">
        <f>+nodeInfo!A61</f>
        <v>5910</v>
      </c>
      <c r="C61" s="1" t="str">
        <f>+nodeInfo!A126</f>
        <v>5911</v>
      </c>
      <c r="D61" t="s">
        <v>350</v>
      </c>
      <c r="E61" t="str">
        <f>modelInfo!J63</f>
        <v>5A</v>
      </c>
      <c r="F61">
        <v>25</v>
      </c>
    </row>
    <row r="62" spans="1:6" x14ac:dyDescent="0.2">
      <c r="A62" s="1" t="s">
        <v>411</v>
      </c>
      <c r="B62" s="1" t="str">
        <f>+nodeInfo!A62</f>
        <v>6010</v>
      </c>
      <c r="C62" s="1" t="str">
        <f>+nodeInfo!A127</f>
        <v>6011</v>
      </c>
      <c r="D62" t="s">
        <v>350</v>
      </c>
      <c r="E62" t="str">
        <f>modelInfo!J64</f>
        <v>5A</v>
      </c>
      <c r="F62">
        <v>25</v>
      </c>
    </row>
    <row r="63" spans="1:6" x14ac:dyDescent="0.2">
      <c r="A63" s="1" t="s">
        <v>412</v>
      </c>
      <c r="B63" s="1" t="str">
        <f>+nodeInfo!A63</f>
        <v>6110</v>
      </c>
      <c r="C63" s="1" t="str">
        <f>+nodeInfo!A128</f>
        <v>6111</v>
      </c>
      <c r="D63" t="s">
        <v>350</v>
      </c>
      <c r="E63" t="str">
        <f>modelInfo!J65</f>
        <v>5B</v>
      </c>
      <c r="F63">
        <v>25</v>
      </c>
    </row>
    <row r="64" spans="1:6" x14ac:dyDescent="0.2">
      <c r="A64" s="1" t="s">
        <v>413</v>
      </c>
      <c r="B64" s="1" t="str">
        <f>+nodeInfo!A64</f>
        <v>6210</v>
      </c>
      <c r="C64" s="1" t="str">
        <f>+nodeInfo!A129</f>
        <v>6211</v>
      </c>
      <c r="D64" t="s">
        <v>350</v>
      </c>
      <c r="E64" t="str">
        <f>modelInfo!J66</f>
        <v>5B</v>
      </c>
      <c r="F64">
        <v>25</v>
      </c>
    </row>
    <row r="65" spans="1:6" x14ac:dyDescent="0.2">
      <c r="A65" s="1" t="s">
        <v>414</v>
      </c>
      <c r="B65" s="1" t="str">
        <f>+nodeInfo!A65</f>
        <v>6310</v>
      </c>
      <c r="C65" s="1" t="str">
        <f>+nodeInfo!A130</f>
        <v>6311</v>
      </c>
      <c r="D65" t="s">
        <v>350</v>
      </c>
      <c r="E65" t="str">
        <f>modelInfo!J67</f>
        <v>5B</v>
      </c>
      <c r="F65">
        <v>25</v>
      </c>
    </row>
    <row r="66" spans="1:6" x14ac:dyDescent="0.2">
      <c r="A66" s="1" t="s">
        <v>415</v>
      </c>
      <c r="B66" s="1" t="str">
        <f>+nodeInfo!A66</f>
        <v>6410</v>
      </c>
      <c r="C66" s="1" t="str">
        <f>+nodeInfo!A131</f>
        <v>6411</v>
      </c>
      <c r="D66" t="s">
        <v>350</v>
      </c>
      <c r="E66" t="str">
        <f>modelInfo!J68</f>
        <v>5B</v>
      </c>
      <c r="F66">
        <v>25</v>
      </c>
    </row>
    <row r="67" spans="1:6" x14ac:dyDescent="0.2">
      <c r="A67" s="1" t="s">
        <v>214</v>
      </c>
      <c r="B67" s="1" t="str">
        <f>+nodeInfo!A67</f>
        <v>0011</v>
      </c>
      <c r="C67" s="1" t="str">
        <f>+nodeInfo!A132</f>
        <v>0021</v>
      </c>
      <c r="D67" t="s">
        <v>416</v>
      </c>
    </row>
    <row r="68" spans="1:6" x14ac:dyDescent="0.2">
      <c r="A68" s="1" t="s">
        <v>215</v>
      </c>
      <c r="B68" s="1" t="str">
        <f>+nodeInfo!A68</f>
        <v>0111</v>
      </c>
      <c r="C68" s="1" t="str">
        <f>+nodeInfo!A133</f>
        <v>0121</v>
      </c>
      <c r="D68" t="s">
        <v>416</v>
      </c>
    </row>
    <row r="69" spans="1:6" x14ac:dyDescent="0.2">
      <c r="A69" s="1" t="s">
        <v>216</v>
      </c>
      <c r="B69" s="1" t="str">
        <f>+nodeInfo!A69</f>
        <v>0211</v>
      </c>
      <c r="C69" s="1" t="str">
        <f>+nodeInfo!A134</f>
        <v>0221</v>
      </c>
      <c r="D69" t="s">
        <v>416</v>
      </c>
    </row>
    <row r="70" spans="1:6" x14ac:dyDescent="0.2">
      <c r="A70" s="1" t="s">
        <v>217</v>
      </c>
      <c r="B70" s="1" t="str">
        <f>+nodeInfo!A70</f>
        <v>0311</v>
      </c>
      <c r="C70" s="1" t="str">
        <f>+nodeInfo!A135</f>
        <v>0321</v>
      </c>
      <c r="D70" t="s">
        <v>416</v>
      </c>
    </row>
    <row r="71" spans="1:6" x14ac:dyDescent="0.2">
      <c r="A71" s="1" t="s">
        <v>218</v>
      </c>
      <c r="B71" s="1" t="str">
        <f>+nodeInfo!A71</f>
        <v>0411</v>
      </c>
      <c r="C71" s="1" t="str">
        <f>+nodeInfo!A136</f>
        <v>0421</v>
      </c>
      <c r="D71" t="s">
        <v>416</v>
      </c>
    </row>
    <row r="72" spans="1:6" x14ac:dyDescent="0.2">
      <c r="A72" s="1" t="s">
        <v>219</v>
      </c>
      <c r="B72" s="1" t="str">
        <f>+nodeInfo!A72</f>
        <v>0511</v>
      </c>
      <c r="C72" s="1" t="str">
        <f>+nodeInfo!A137</f>
        <v>0521</v>
      </c>
      <c r="D72" t="s">
        <v>416</v>
      </c>
    </row>
    <row r="73" spans="1:6" x14ac:dyDescent="0.2">
      <c r="A73" s="1" t="s">
        <v>220</v>
      </c>
      <c r="B73" s="1" t="str">
        <f>+nodeInfo!A73</f>
        <v>0611</v>
      </c>
      <c r="C73" s="1" t="str">
        <f>+nodeInfo!A138</f>
        <v>0621</v>
      </c>
      <c r="D73" t="s">
        <v>416</v>
      </c>
    </row>
    <row r="74" spans="1:6" x14ac:dyDescent="0.2">
      <c r="A74" s="1" t="s">
        <v>221</v>
      </c>
      <c r="B74" s="1" t="str">
        <f>+nodeInfo!A74</f>
        <v>0711</v>
      </c>
      <c r="C74" s="1" t="str">
        <f>+nodeInfo!A139</f>
        <v>0721</v>
      </c>
      <c r="D74" t="s">
        <v>416</v>
      </c>
    </row>
    <row r="75" spans="1:6" x14ac:dyDescent="0.2">
      <c r="A75" s="1" t="s">
        <v>222</v>
      </c>
      <c r="B75" s="1" t="str">
        <f>+nodeInfo!A75</f>
        <v>0811</v>
      </c>
      <c r="C75" s="1" t="str">
        <f>+nodeInfo!A140</f>
        <v>0821</v>
      </c>
      <c r="D75" t="s">
        <v>416</v>
      </c>
    </row>
    <row r="76" spans="1:6" x14ac:dyDescent="0.2">
      <c r="A76" s="1" t="s">
        <v>223</v>
      </c>
      <c r="B76" s="1" t="str">
        <f>+nodeInfo!A76</f>
        <v>0911</v>
      </c>
      <c r="C76" s="1" t="str">
        <f>+nodeInfo!A141</f>
        <v>0921</v>
      </c>
      <c r="D76" t="s">
        <v>416</v>
      </c>
    </row>
    <row r="77" spans="1:6" x14ac:dyDescent="0.2">
      <c r="A77" s="1" t="s">
        <v>224</v>
      </c>
      <c r="B77" s="1" t="str">
        <f>+nodeInfo!A77</f>
        <v>1011</v>
      </c>
      <c r="C77" s="1" t="str">
        <f>+nodeInfo!A142</f>
        <v>1021</v>
      </c>
      <c r="D77" t="s">
        <v>416</v>
      </c>
    </row>
    <row r="78" spans="1:6" x14ac:dyDescent="0.2">
      <c r="A78" s="1" t="s">
        <v>225</v>
      </c>
      <c r="B78" s="1" t="str">
        <f>+nodeInfo!A78</f>
        <v>1111</v>
      </c>
      <c r="C78" s="1" t="str">
        <f>+nodeInfo!A143</f>
        <v>1121</v>
      </c>
      <c r="D78" t="s">
        <v>416</v>
      </c>
    </row>
    <row r="79" spans="1:6" x14ac:dyDescent="0.2">
      <c r="A79" s="1" t="s">
        <v>226</v>
      </c>
      <c r="B79" s="1" t="str">
        <f>+nodeInfo!A79</f>
        <v>1211</v>
      </c>
      <c r="C79" s="1" t="str">
        <f>+nodeInfo!A144</f>
        <v>1221</v>
      </c>
      <c r="D79" t="s">
        <v>416</v>
      </c>
    </row>
    <row r="80" spans="1:6" x14ac:dyDescent="0.2">
      <c r="A80" s="1" t="s">
        <v>227</v>
      </c>
      <c r="B80" s="1" t="str">
        <f>+nodeInfo!A80</f>
        <v>1311</v>
      </c>
      <c r="C80" s="1" t="str">
        <f>+nodeInfo!A145</f>
        <v>1321</v>
      </c>
      <c r="D80" t="s">
        <v>416</v>
      </c>
    </row>
    <row r="81" spans="1:4" x14ac:dyDescent="0.2">
      <c r="A81" s="1" t="s">
        <v>228</v>
      </c>
      <c r="B81" s="1" t="str">
        <f>+nodeInfo!A81</f>
        <v>1411</v>
      </c>
      <c r="C81" s="1" t="str">
        <f>+nodeInfo!A146</f>
        <v>1421</v>
      </c>
      <c r="D81" t="s">
        <v>416</v>
      </c>
    </row>
    <row r="82" spans="1:4" x14ac:dyDescent="0.2">
      <c r="A82" s="1" t="s">
        <v>229</v>
      </c>
      <c r="B82" s="1" t="str">
        <f>+nodeInfo!A82</f>
        <v>1511</v>
      </c>
      <c r="C82" s="1" t="str">
        <f>+nodeInfo!A147</f>
        <v>1521</v>
      </c>
      <c r="D82" t="s">
        <v>416</v>
      </c>
    </row>
    <row r="83" spans="1:4" x14ac:dyDescent="0.2">
      <c r="A83" s="1" t="s">
        <v>230</v>
      </c>
      <c r="B83" s="1" t="str">
        <f>+nodeInfo!A83</f>
        <v>1611</v>
      </c>
      <c r="C83" s="1" t="str">
        <f>+nodeInfo!A148</f>
        <v>1621</v>
      </c>
      <c r="D83" t="s">
        <v>416</v>
      </c>
    </row>
    <row r="84" spans="1:4" x14ac:dyDescent="0.2">
      <c r="A84" s="1" t="s">
        <v>231</v>
      </c>
      <c r="B84" s="1" t="str">
        <f>+nodeInfo!A84</f>
        <v>1711</v>
      </c>
      <c r="C84" s="1" t="str">
        <f>+nodeInfo!A149</f>
        <v>1721</v>
      </c>
      <c r="D84" t="s">
        <v>416</v>
      </c>
    </row>
    <row r="85" spans="1:4" x14ac:dyDescent="0.2">
      <c r="A85" s="1" t="s">
        <v>232</v>
      </c>
      <c r="B85" s="1" t="str">
        <f>+nodeInfo!A85</f>
        <v>1811</v>
      </c>
      <c r="C85" s="1" t="str">
        <f>+nodeInfo!A150</f>
        <v>1821</v>
      </c>
      <c r="D85" t="s">
        <v>416</v>
      </c>
    </row>
    <row r="86" spans="1:4" x14ac:dyDescent="0.2">
      <c r="A86" s="1" t="s">
        <v>233</v>
      </c>
      <c r="B86" s="1" t="str">
        <f>+nodeInfo!A86</f>
        <v>1911</v>
      </c>
      <c r="C86" s="1" t="str">
        <f>+nodeInfo!A151</f>
        <v>1921</v>
      </c>
      <c r="D86" t="s">
        <v>416</v>
      </c>
    </row>
    <row r="87" spans="1:4" x14ac:dyDescent="0.2">
      <c r="A87" s="1" t="s">
        <v>234</v>
      </c>
      <c r="B87" s="1" t="str">
        <f>+nodeInfo!A87</f>
        <v>2011</v>
      </c>
      <c r="C87" s="1" t="str">
        <f>+nodeInfo!A152</f>
        <v>2021</v>
      </c>
      <c r="D87" t="s">
        <v>416</v>
      </c>
    </row>
    <row r="88" spans="1:4" x14ac:dyDescent="0.2">
      <c r="A88" s="1" t="s">
        <v>235</v>
      </c>
      <c r="B88" s="1" t="str">
        <f>+nodeInfo!A88</f>
        <v>2111</v>
      </c>
      <c r="C88" s="1" t="str">
        <f>+nodeInfo!A153</f>
        <v>2121</v>
      </c>
      <c r="D88" t="s">
        <v>416</v>
      </c>
    </row>
    <row r="89" spans="1:4" x14ac:dyDescent="0.2">
      <c r="A89" s="1" t="s">
        <v>236</v>
      </c>
      <c r="B89" s="1" t="str">
        <f>+nodeInfo!A89</f>
        <v>2211</v>
      </c>
      <c r="C89" s="1" t="str">
        <f>+nodeInfo!A154</f>
        <v>2221</v>
      </c>
      <c r="D89" t="s">
        <v>416</v>
      </c>
    </row>
    <row r="90" spans="1:4" x14ac:dyDescent="0.2">
      <c r="A90" s="1" t="s">
        <v>237</v>
      </c>
      <c r="B90" s="1" t="str">
        <f>+nodeInfo!A90</f>
        <v>2311</v>
      </c>
      <c r="C90" s="1" t="str">
        <f>+nodeInfo!A155</f>
        <v>2321</v>
      </c>
      <c r="D90" t="s">
        <v>416</v>
      </c>
    </row>
    <row r="91" spans="1:4" x14ac:dyDescent="0.2">
      <c r="A91" s="1" t="s">
        <v>238</v>
      </c>
      <c r="B91" s="1" t="str">
        <f>+nodeInfo!A91</f>
        <v>2411</v>
      </c>
      <c r="C91" s="1" t="str">
        <f>+nodeInfo!A156</f>
        <v>2421</v>
      </c>
      <c r="D91" t="s">
        <v>416</v>
      </c>
    </row>
    <row r="92" spans="1:4" x14ac:dyDescent="0.2">
      <c r="A92" s="1" t="s">
        <v>239</v>
      </c>
      <c r="B92" s="1" t="str">
        <f>+nodeInfo!A92</f>
        <v>2511</v>
      </c>
      <c r="C92" s="1" t="str">
        <f>+nodeInfo!A157</f>
        <v>2521</v>
      </c>
      <c r="D92" t="s">
        <v>416</v>
      </c>
    </row>
    <row r="93" spans="1:4" x14ac:dyDescent="0.2">
      <c r="A93" s="1" t="s">
        <v>240</v>
      </c>
      <c r="B93" s="1" t="str">
        <f>+nodeInfo!A93</f>
        <v>2611</v>
      </c>
      <c r="C93" s="1" t="str">
        <f>+nodeInfo!A158</f>
        <v>2621</v>
      </c>
      <c r="D93" t="s">
        <v>416</v>
      </c>
    </row>
    <row r="94" spans="1:4" x14ac:dyDescent="0.2">
      <c r="A94" s="1" t="s">
        <v>241</v>
      </c>
      <c r="B94" s="1" t="str">
        <f>+nodeInfo!A94</f>
        <v>2711</v>
      </c>
      <c r="C94" s="1" t="str">
        <f>+nodeInfo!A159</f>
        <v>2721</v>
      </c>
      <c r="D94" t="s">
        <v>416</v>
      </c>
    </row>
    <row r="95" spans="1:4" x14ac:dyDescent="0.2">
      <c r="A95" s="1" t="s">
        <v>242</v>
      </c>
      <c r="B95" s="1" t="str">
        <f>+nodeInfo!A95</f>
        <v>2811</v>
      </c>
      <c r="C95" s="1" t="str">
        <f>+nodeInfo!A160</f>
        <v>2821</v>
      </c>
      <c r="D95" t="s">
        <v>416</v>
      </c>
    </row>
    <row r="96" spans="1:4" x14ac:dyDescent="0.2">
      <c r="A96" s="1" t="s">
        <v>243</v>
      </c>
      <c r="B96" s="1" t="str">
        <f>+nodeInfo!A96</f>
        <v>2911</v>
      </c>
      <c r="C96" s="1" t="str">
        <f>+nodeInfo!A161</f>
        <v>2921</v>
      </c>
      <c r="D96" t="s">
        <v>416</v>
      </c>
    </row>
    <row r="97" spans="1:4" x14ac:dyDescent="0.2">
      <c r="A97" s="1" t="s">
        <v>244</v>
      </c>
      <c r="B97" s="1" t="str">
        <f>+nodeInfo!A97</f>
        <v>3011</v>
      </c>
      <c r="C97" s="1" t="str">
        <f>+nodeInfo!A162</f>
        <v>3021</v>
      </c>
      <c r="D97" t="s">
        <v>416</v>
      </c>
    </row>
    <row r="98" spans="1:4" x14ac:dyDescent="0.2">
      <c r="A98" s="1" t="s">
        <v>245</v>
      </c>
      <c r="B98" s="1" t="str">
        <f>+nodeInfo!A98</f>
        <v>3111</v>
      </c>
      <c r="C98" s="1" t="str">
        <f>+nodeInfo!A163</f>
        <v>3121</v>
      </c>
      <c r="D98" t="s">
        <v>416</v>
      </c>
    </row>
    <row r="99" spans="1:4" x14ac:dyDescent="0.2">
      <c r="A99" s="1" t="s">
        <v>246</v>
      </c>
      <c r="B99" s="1" t="str">
        <f>+nodeInfo!A99</f>
        <v>3211</v>
      </c>
      <c r="C99" s="1" t="str">
        <f>+nodeInfo!A164</f>
        <v>3221</v>
      </c>
      <c r="D99" t="s">
        <v>416</v>
      </c>
    </row>
    <row r="100" spans="1:4" x14ac:dyDescent="0.2">
      <c r="A100" s="1" t="s">
        <v>247</v>
      </c>
      <c r="B100" s="1" t="str">
        <f>+nodeInfo!A100</f>
        <v>3311</v>
      </c>
      <c r="C100" s="1" t="str">
        <f>+nodeInfo!A165</f>
        <v>3321</v>
      </c>
      <c r="D100" t="s">
        <v>416</v>
      </c>
    </row>
    <row r="101" spans="1:4" x14ac:dyDescent="0.2">
      <c r="A101" s="1" t="s">
        <v>248</v>
      </c>
      <c r="B101" s="1" t="str">
        <f>+nodeInfo!A101</f>
        <v>3411</v>
      </c>
      <c r="C101" s="1" t="str">
        <f>+nodeInfo!A166</f>
        <v>3421</v>
      </c>
      <c r="D101" t="s">
        <v>416</v>
      </c>
    </row>
    <row r="102" spans="1:4" x14ac:dyDescent="0.2">
      <c r="A102" s="1" t="s">
        <v>249</v>
      </c>
      <c r="B102" s="1" t="str">
        <f>+nodeInfo!A102</f>
        <v>3511</v>
      </c>
      <c r="C102" s="1" t="str">
        <f>+nodeInfo!A167</f>
        <v>3521</v>
      </c>
      <c r="D102" t="s">
        <v>416</v>
      </c>
    </row>
    <row r="103" spans="1:4" x14ac:dyDescent="0.2">
      <c r="A103" s="1" t="s">
        <v>250</v>
      </c>
      <c r="B103" s="1" t="str">
        <f>+nodeInfo!A103</f>
        <v>3611</v>
      </c>
      <c r="C103" s="1" t="str">
        <f>+nodeInfo!A168</f>
        <v>3621</v>
      </c>
      <c r="D103" t="s">
        <v>416</v>
      </c>
    </row>
    <row r="104" spans="1:4" x14ac:dyDescent="0.2">
      <c r="A104" s="1" t="s">
        <v>251</v>
      </c>
      <c r="B104" s="1" t="str">
        <f>+nodeInfo!A104</f>
        <v>3711</v>
      </c>
      <c r="C104" s="1" t="str">
        <f>+nodeInfo!A169</f>
        <v>3721</v>
      </c>
      <c r="D104" t="s">
        <v>416</v>
      </c>
    </row>
    <row r="105" spans="1:4" x14ac:dyDescent="0.2">
      <c r="A105" s="1" t="s">
        <v>252</v>
      </c>
      <c r="B105" s="1" t="str">
        <f>+nodeInfo!A105</f>
        <v>3811</v>
      </c>
      <c r="C105" s="1" t="str">
        <f>+nodeInfo!A170</f>
        <v>3821</v>
      </c>
      <c r="D105" t="s">
        <v>416</v>
      </c>
    </row>
    <row r="106" spans="1:4" x14ac:dyDescent="0.2">
      <c r="A106" s="1" t="s">
        <v>253</v>
      </c>
      <c r="B106" s="1" t="str">
        <f>+nodeInfo!A106</f>
        <v>3911</v>
      </c>
      <c r="C106" s="1" t="str">
        <f>+nodeInfo!A171</f>
        <v>3921</v>
      </c>
      <c r="D106" t="s">
        <v>416</v>
      </c>
    </row>
    <row r="107" spans="1:4" x14ac:dyDescent="0.2">
      <c r="A107" s="1" t="s">
        <v>254</v>
      </c>
      <c r="B107" s="1" t="str">
        <f>+nodeInfo!A107</f>
        <v>4011</v>
      </c>
      <c r="C107" s="1" t="str">
        <f>+nodeInfo!A172</f>
        <v>4021</v>
      </c>
      <c r="D107" t="s">
        <v>416</v>
      </c>
    </row>
    <row r="108" spans="1:4" x14ac:dyDescent="0.2">
      <c r="A108" s="1" t="s">
        <v>255</v>
      </c>
      <c r="B108" s="1" t="str">
        <f>+nodeInfo!A108</f>
        <v>4111</v>
      </c>
      <c r="C108" s="1" t="str">
        <f>+nodeInfo!A173</f>
        <v>4121</v>
      </c>
      <c r="D108" t="s">
        <v>416</v>
      </c>
    </row>
    <row r="109" spans="1:4" x14ac:dyDescent="0.2">
      <c r="A109" s="1" t="s">
        <v>256</v>
      </c>
      <c r="B109" s="1" t="str">
        <f>+nodeInfo!A109</f>
        <v>4211</v>
      </c>
      <c r="C109" s="1" t="str">
        <f>+nodeInfo!A174</f>
        <v>4221</v>
      </c>
      <c r="D109" t="s">
        <v>416</v>
      </c>
    </row>
    <row r="110" spans="1:4" x14ac:dyDescent="0.2">
      <c r="A110" s="1" t="s">
        <v>257</v>
      </c>
      <c r="B110" s="1" t="str">
        <f>+nodeInfo!A110</f>
        <v>4311</v>
      </c>
      <c r="C110" s="1" t="str">
        <f>+nodeInfo!A175</f>
        <v>4321</v>
      </c>
      <c r="D110" t="s">
        <v>416</v>
      </c>
    </row>
    <row r="111" spans="1:4" x14ac:dyDescent="0.2">
      <c r="A111" s="1" t="s">
        <v>258</v>
      </c>
      <c r="B111" s="1" t="str">
        <f>+nodeInfo!A111</f>
        <v>4411</v>
      </c>
      <c r="C111" s="1" t="str">
        <f>+nodeInfo!A176</f>
        <v>4421</v>
      </c>
      <c r="D111" t="s">
        <v>416</v>
      </c>
    </row>
    <row r="112" spans="1:4" x14ac:dyDescent="0.2">
      <c r="A112" s="1" t="s">
        <v>259</v>
      </c>
      <c r="B112" s="1" t="str">
        <f>+nodeInfo!A112</f>
        <v>4511</v>
      </c>
      <c r="C112" s="1" t="str">
        <f>+nodeInfo!A177</f>
        <v>4521</v>
      </c>
      <c r="D112" t="s">
        <v>416</v>
      </c>
    </row>
    <row r="113" spans="1:4" x14ac:dyDescent="0.2">
      <c r="A113" s="1" t="s">
        <v>260</v>
      </c>
      <c r="B113" s="1" t="str">
        <f>+nodeInfo!A113</f>
        <v>4611</v>
      </c>
      <c r="C113" s="1" t="str">
        <f>+nodeInfo!A178</f>
        <v>4621</v>
      </c>
      <c r="D113" t="s">
        <v>416</v>
      </c>
    </row>
    <row r="114" spans="1:4" x14ac:dyDescent="0.2">
      <c r="A114" s="1" t="s">
        <v>261</v>
      </c>
      <c r="B114" s="1" t="str">
        <f>+nodeInfo!A114</f>
        <v>4711</v>
      </c>
      <c r="C114" s="1" t="str">
        <f>+nodeInfo!A179</f>
        <v>4721</v>
      </c>
      <c r="D114" t="s">
        <v>416</v>
      </c>
    </row>
    <row r="115" spans="1:4" x14ac:dyDescent="0.2">
      <c r="A115" s="1" t="s">
        <v>262</v>
      </c>
      <c r="B115" s="1" t="str">
        <f>+nodeInfo!A115</f>
        <v>4811</v>
      </c>
      <c r="C115" s="1" t="str">
        <f>+nodeInfo!A180</f>
        <v>4821</v>
      </c>
      <c r="D115" t="s">
        <v>416</v>
      </c>
    </row>
    <row r="116" spans="1:4" x14ac:dyDescent="0.2">
      <c r="A116" s="1" t="s">
        <v>263</v>
      </c>
      <c r="B116" s="1" t="str">
        <f>+nodeInfo!A116</f>
        <v>4911</v>
      </c>
      <c r="C116" s="1" t="str">
        <f>+nodeInfo!A181</f>
        <v>4921</v>
      </c>
      <c r="D116" t="s">
        <v>416</v>
      </c>
    </row>
    <row r="117" spans="1:4" x14ac:dyDescent="0.2">
      <c r="A117" s="1" t="s">
        <v>264</v>
      </c>
      <c r="B117" s="1" t="str">
        <f>+nodeInfo!A117</f>
        <v>5011</v>
      </c>
      <c r="C117" s="1" t="str">
        <f>+nodeInfo!A182</f>
        <v>5021</v>
      </c>
      <c r="D117" t="s">
        <v>416</v>
      </c>
    </row>
    <row r="118" spans="1:4" x14ac:dyDescent="0.2">
      <c r="A118" s="1" t="s">
        <v>265</v>
      </c>
      <c r="B118" s="1" t="str">
        <f>+nodeInfo!A118</f>
        <v>5111</v>
      </c>
      <c r="C118" s="1" t="str">
        <f>+nodeInfo!A183</f>
        <v>5121</v>
      </c>
      <c r="D118" t="s">
        <v>416</v>
      </c>
    </row>
    <row r="119" spans="1:4" x14ac:dyDescent="0.2">
      <c r="A119" s="1" t="s">
        <v>266</v>
      </c>
      <c r="B119" s="1" t="str">
        <f>+nodeInfo!A119</f>
        <v>5211</v>
      </c>
      <c r="C119" s="1" t="str">
        <f>+nodeInfo!A184</f>
        <v>5221</v>
      </c>
      <c r="D119" t="s">
        <v>416</v>
      </c>
    </row>
    <row r="120" spans="1:4" x14ac:dyDescent="0.2">
      <c r="A120" s="1" t="s">
        <v>267</v>
      </c>
      <c r="B120" s="1" t="str">
        <f>+nodeInfo!A120</f>
        <v>5311</v>
      </c>
      <c r="C120" s="1" t="str">
        <f>+nodeInfo!A185</f>
        <v>5321</v>
      </c>
      <c r="D120" t="s">
        <v>416</v>
      </c>
    </row>
    <row r="121" spans="1:4" x14ac:dyDescent="0.2">
      <c r="A121" s="1" t="s">
        <v>268</v>
      </c>
      <c r="B121" s="1" t="str">
        <f>+nodeInfo!A121</f>
        <v>5411</v>
      </c>
      <c r="C121" s="1" t="str">
        <f>+nodeInfo!A186</f>
        <v>5421</v>
      </c>
      <c r="D121" t="s">
        <v>416</v>
      </c>
    </row>
    <row r="122" spans="1:4" x14ac:dyDescent="0.2">
      <c r="A122" s="1" t="s">
        <v>269</v>
      </c>
      <c r="B122" s="1" t="str">
        <f>+nodeInfo!A122</f>
        <v>5511</v>
      </c>
      <c r="C122" s="1" t="str">
        <f>+nodeInfo!A187</f>
        <v>5521</v>
      </c>
      <c r="D122" t="s">
        <v>416</v>
      </c>
    </row>
    <row r="123" spans="1:4" x14ac:dyDescent="0.2">
      <c r="A123" s="1" t="s">
        <v>270</v>
      </c>
      <c r="B123" s="1" t="str">
        <f>+nodeInfo!A123</f>
        <v>5611</v>
      </c>
      <c r="C123" s="1" t="str">
        <f>+nodeInfo!A188</f>
        <v>5621</v>
      </c>
      <c r="D123" t="s">
        <v>416</v>
      </c>
    </row>
    <row r="124" spans="1:4" x14ac:dyDescent="0.2">
      <c r="A124" s="1" t="s">
        <v>271</v>
      </c>
      <c r="B124" s="1" t="str">
        <f>+nodeInfo!A124</f>
        <v>5711</v>
      </c>
      <c r="C124" s="1" t="str">
        <f>+nodeInfo!A189</f>
        <v>5721</v>
      </c>
      <c r="D124" t="s">
        <v>416</v>
      </c>
    </row>
    <row r="125" spans="1:4" x14ac:dyDescent="0.2">
      <c r="A125" s="1" t="s">
        <v>272</v>
      </c>
      <c r="B125" s="1" t="str">
        <f>+nodeInfo!A125</f>
        <v>5811</v>
      </c>
      <c r="C125" s="1" t="str">
        <f>+nodeInfo!A190</f>
        <v>5821</v>
      </c>
      <c r="D125" t="s">
        <v>416</v>
      </c>
    </row>
    <row r="126" spans="1:4" x14ac:dyDescent="0.2">
      <c r="A126" s="1" t="s">
        <v>273</v>
      </c>
      <c r="B126" s="1" t="str">
        <f>+nodeInfo!A126</f>
        <v>5911</v>
      </c>
      <c r="C126" s="1" t="str">
        <f>+nodeInfo!A191</f>
        <v>5921</v>
      </c>
      <c r="D126" t="s">
        <v>416</v>
      </c>
    </row>
    <row r="127" spans="1:4" x14ac:dyDescent="0.2">
      <c r="A127" s="1" t="s">
        <v>274</v>
      </c>
      <c r="B127" s="1" t="str">
        <f>+nodeInfo!A127</f>
        <v>6011</v>
      </c>
      <c r="C127" s="1" t="str">
        <f>+nodeInfo!A192</f>
        <v>6021</v>
      </c>
      <c r="D127" t="s">
        <v>416</v>
      </c>
    </row>
    <row r="128" spans="1:4" x14ac:dyDescent="0.2">
      <c r="A128" s="1" t="s">
        <v>275</v>
      </c>
      <c r="B128" s="1" t="str">
        <f>+nodeInfo!A128</f>
        <v>6111</v>
      </c>
      <c r="C128" s="1" t="str">
        <f>+nodeInfo!A193</f>
        <v>6121</v>
      </c>
      <c r="D128" t="s">
        <v>416</v>
      </c>
    </row>
    <row r="129" spans="1:4" x14ac:dyDescent="0.2">
      <c r="A129" s="1" t="s">
        <v>276</v>
      </c>
      <c r="B129" s="1" t="str">
        <f>+nodeInfo!A129</f>
        <v>6211</v>
      </c>
      <c r="C129" s="1" t="str">
        <f>+nodeInfo!A194</f>
        <v>6221</v>
      </c>
      <c r="D129" t="s">
        <v>416</v>
      </c>
    </row>
    <row r="130" spans="1:4" x14ac:dyDescent="0.2">
      <c r="A130" s="1" t="s">
        <v>277</v>
      </c>
      <c r="B130" s="1" t="str">
        <f>+nodeInfo!A130</f>
        <v>6311</v>
      </c>
      <c r="C130" s="1" t="str">
        <f>+nodeInfo!A195</f>
        <v>6321</v>
      </c>
      <c r="D130" t="s">
        <v>416</v>
      </c>
    </row>
    <row r="131" spans="1:4" x14ac:dyDescent="0.2">
      <c r="A131" s="1" t="s">
        <v>278</v>
      </c>
      <c r="B131" s="1" t="str">
        <f>+nodeInfo!A131</f>
        <v>6411</v>
      </c>
      <c r="C131" s="1" t="str">
        <f>+nodeInfo!A196</f>
        <v>6421</v>
      </c>
      <c r="D131" t="s">
        <v>416</v>
      </c>
    </row>
    <row r="132" spans="1:4" x14ac:dyDescent="0.2">
      <c r="A132" s="1" t="s">
        <v>417</v>
      </c>
      <c r="B132" s="1" t="str">
        <f>+nodeInfo!A197</f>
        <v>0002</v>
      </c>
      <c r="C132" s="1" t="str">
        <f>+nodeInfo!A132</f>
        <v>0021</v>
      </c>
      <c r="D132" t="s">
        <v>482</v>
      </c>
    </row>
    <row r="133" spans="1:4" x14ac:dyDescent="0.2">
      <c r="A133" s="1" t="s">
        <v>418</v>
      </c>
      <c r="B133" s="1" t="str">
        <f>+nodeInfo!A198</f>
        <v>0102</v>
      </c>
      <c r="C133" s="1" t="str">
        <f>+nodeInfo!A133</f>
        <v>0121</v>
      </c>
      <c r="D133" t="s">
        <v>482</v>
      </c>
    </row>
    <row r="134" spans="1:4" x14ac:dyDescent="0.2">
      <c r="A134" s="1" t="s">
        <v>419</v>
      </c>
      <c r="B134" s="1" t="str">
        <f>+nodeInfo!A199</f>
        <v>0202</v>
      </c>
      <c r="C134" s="1" t="str">
        <f>+nodeInfo!A134</f>
        <v>0221</v>
      </c>
      <c r="D134" t="s">
        <v>482</v>
      </c>
    </row>
    <row r="135" spans="1:4" x14ac:dyDescent="0.2">
      <c r="A135" s="1" t="s">
        <v>420</v>
      </c>
      <c r="B135" s="1" t="str">
        <f>+nodeInfo!A200</f>
        <v>0302</v>
      </c>
      <c r="C135" s="1" t="str">
        <f>+nodeInfo!A135</f>
        <v>0321</v>
      </c>
      <c r="D135" t="s">
        <v>482</v>
      </c>
    </row>
    <row r="136" spans="1:4" x14ac:dyDescent="0.2">
      <c r="A136" s="1" t="s">
        <v>421</v>
      </c>
      <c r="B136" s="1" t="str">
        <f>+nodeInfo!A201</f>
        <v>0402</v>
      </c>
      <c r="C136" s="1" t="str">
        <f>+nodeInfo!A136</f>
        <v>0421</v>
      </c>
      <c r="D136" t="s">
        <v>482</v>
      </c>
    </row>
    <row r="137" spans="1:4" x14ac:dyDescent="0.2">
      <c r="A137" s="1" t="s">
        <v>422</v>
      </c>
      <c r="B137" s="1" t="str">
        <f>+nodeInfo!A202</f>
        <v>0502</v>
      </c>
      <c r="C137" s="1" t="str">
        <f>+nodeInfo!A137</f>
        <v>0521</v>
      </c>
      <c r="D137" t="s">
        <v>482</v>
      </c>
    </row>
    <row r="138" spans="1:4" x14ac:dyDescent="0.2">
      <c r="A138" s="1" t="s">
        <v>423</v>
      </c>
      <c r="B138" s="1" t="str">
        <f>+nodeInfo!A203</f>
        <v>0602</v>
      </c>
      <c r="C138" s="1" t="str">
        <f>+nodeInfo!A138</f>
        <v>0621</v>
      </c>
      <c r="D138" t="s">
        <v>482</v>
      </c>
    </row>
    <row r="139" spans="1:4" x14ac:dyDescent="0.2">
      <c r="A139" s="1" t="s">
        <v>424</v>
      </c>
      <c r="B139" s="1" t="str">
        <f>+nodeInfo!A204</f>
        <v>0702</v>
      </c>
      <c r="C139" s="1" t="str">
        <f>+nodeInfo!A139</f>
        <v>0721</v>
      </c>
      <c r="D139" t="s">
        <v>482</v>
      </c>
    </row>
    <row r="140" spans="1:4" x14ac:dyDescent="0.2">
      <c r="A140" s="1" t="s">
        <v>425</v>
      </c>
      <c r="B140" s="1" t="str">
        <f>+nodeInfo!A205</f>
        <v>0802</v>
      </c>
      <c r="C140" s="1" t="str">
        <f>+nodeInfo!A140</f>
        <v>0821</v>
      </c>
      <c r="D140" t="s">
        <v>482</v>
      </c>
    </row>
    <row r="141" spans="1:4" x14ac:dyDescent="0.2">
      <c r="A141" s="1" t="s">
        <v>426</v>
      </c>
      <c r="B141" s="1" t="str">
        <f>+nodeInfo!A206</f>
        <v>0902</v>
      </c>
      <c r="C141" s="1" t="str">
        <f>+nodeInfo!A141</f>
        <v>0921</v>
      </c>
      <c r="D141" t="s">
        <v>482</v>
      </c>
    </row>
    <row r="142" spans="1:4" x14ac:dyDescent="0.2">
      <c r="A142" s="1" t="s">
        <v>427</v>
      </c>
      <c r="B142" s="1" t="str">
        <f>+nodeInfo!A207</f>
        <v>1002</v>
      </c>
      <c r="C142" s="1" t="str">
        <f>+nodeInfo!A142</f>
        <v>1021</v>
      </c>
      <c r="D142" t="s">
        <v>482</v>
      </c>
    </row>
    <row r="143" spans="1:4" x14ac:dyDescent="0.2">
      <c r="A143" s="1" t="s">
        <v>428</v>
      </c>
      <c r="B143" s="1" t="str">
        <f>+nodeInfo!A208</f>
        <v>1102</v>
      </c>
      <c r="C143" s="1" t="str">
        <f>+nodeInfo!A143</f>
        <v>1121</v>
      </c>
      <c r="D143" t="s">
        <v>482</v>
      </c>
    </row>
    <row r="144" spans="1:4" x14ac:dyDescent="0.2">
      <c r="A144" s="1" t="s">
        <v>429</v>
      </c>
      <c r="B144" s="1" t="str">
        <f>+nodeInfo!A209</f>
        <v>1202</v>
      </c>
      <c r="C144" s="1" t="str">
        <f>+nodeInfo!A144</f>
        <v>1221</v>
      </c>
      <c r="D144" t="s">
        <v>482</v>
      </c>
    </row>
    <row r="145" spans="1:4" x14ac:dyDescent="0.2">
      <c r="A145" s="1" t="s">
        <v>430</v>
      </c>
      <c r="B145" s="1" t="str">
        <f>+nodeInfo!A210</f>
        <v>1302</v>
      </c>
      <c r="C145" s="1" t="str">
        <f>+nodeInfo!A145</f>
        <v>1321</v>
      </c>
      <c r="D145" t="s">
        <v>482</v>
      </c>
    </row>
    <row r="146" spans="1:4" x14ac:dyDescent="0.2">
      <c r="A146" s="1" t="s">
        <v>431</v>
      </c>
      <c r="B146" s="1" t="str">
        <f>+nodeInfo!A211</f>
        <v>1402</v>
      </c>
      <c r="C146" s="1" t="str">
        <f>+nodeInfo!A146</f>
        <v>1421</v>
      </c>
      <c r="D146" t="s">
        <v>482</v>
      </c>
    </row>
    <row r="147" spans="1:4" x14ac:dyDescent="0.2">
      <c r="A147" s="1" t="s">
        <v>432</v>
      </c>
      <c r="B147" s="1" t="str">
        <f>+nodeInfo!A212</f>
        <v>1502</v>
      </c>
      <c r="C147" s="1" t="str">
        <f>+nodeInfo!A147</f>
        <v>1521</v>
      </c>
      <c r="D147" t="s">
        <v>482</v>
      </c>
    </row>
    <row r="148" spans="1:4" x14ac:dyDescent="0.2">
      <c r="A148" s="1" t="s">
        <v>433</v>
      </c>
      <c r="B148" s="1" t="str">
        <f>+nodeInfo!A213</f>
        <v>1602</v>
      </c>
      <c r="C148" s="1" t="str">
        <f>+nodeInfo!A148</f>
        <v>1621</v>
      </c>
      <c r="D148" t="s">
        <v>482</v>
      </c>
    </row>
    <row r="149" spans="1:4" x14ac:dyDescent="0.2">
      <c r="A149" s="1" t="s">
        <v>434</v>
      </c>
      <c r="B149" s="1" t="str">
        <f>+nodeInfo!A214</f>
        <v>1702</v>
      </c>
      <c r="C149" s="1" t="str">
        <f>+nodeInfo!A149</f>
        <v>1721</v>
      </c>
      <c r="D149" t="s">
        <v>482</v>
      </c>
    </row>
    <row r="150" spans="1:4" x14ac:dyDescent="0.2">
      <c r="A150" s="1" t="s">
        <v>435</v>
      </c>
      <c r="B150" s="1" t="str">
        <f>+nodeInfo!A215</f>
        <v>1802</v>
      </c>
      <c r="C150" s="1" t="str">
        <f>+nodeInfo!A150</f>
        <v>1821</v>
      </c>
      <c r="D150" t="s">
        <v>482</v>
      </c>
    </row>
    <row r="151" spans="1:4" x14ac:dyDescent="0.2">
      <c r="A151" s="1" t="s">
        <v>436</v>
      </c>
      <c r="B151" s="1" t="str">
        <f>+nodeInfo!A216</f>
        <v>1902</v>
      </c>
      <c r="C151" s="1" t="str">
        <f>+nodeInfo!A151</f>
        <v>1921</v>
      </c>
      <c r="D151" t="s">
        <v>482</v>
      </c>
    </row>
    <row r="152" spans="1:4" x14ac:dyDescent="0.2">
      <c r="A152" s="1" t="s">
        <v>437</v>
      </c>
      <c r="B152" s="1" t="str">
        <f>+nodeInfo!A217</f>
        <v>2002</v>
      </c>
      <c r="C152" s="1" t="str">
        <f>+nodeInfo!A152</f>
        <v>2021</v>
      </c>
      <c r="D152" t="s">
        <v>482</v>
      </c>
    </row>
    <row r="153" spans="1:4" x14ac:dyDescent="0.2">
      <c r="A153" s="1" t="s">
        <v>438</v>
      </c>
      <c r="B153" s="1" t="str">
        <f>+nodeInfo!A218</f>
        <v>2102</v>
      </c>
      <c r="C153" s="1" t="str">
        <f>+nodeInfo!A153</f>
        <v>2121</v>
      </c>
      <c r="D153" t="s">
        <v>482</v>
      </c>
    </row>
    <row r="154" spans="1:4" x14ac:dyDescent="0.2">
      <c r="A154" s="1" t="s">
        <v>439</v>
      </c>
      <c r="B154" s="1" t="str">
        <f>+nodeInfo!A219</f>
        <v>2202</v>
      </c>
      <c r="C154" s="1" t="str">
        <f>+nodeInfo!A154</f>
        <v>2221</v>
      </c>
      <c r="D154" t="s">
        <v>482</v>
      </c>
    </row>
    <row r="155" spans="1:4" x14ac:dyDescent="0.2">
      <c r="A155" s="1" t="s">
        <v>440</v>
      </c>
      <c r="B155" s="1" t="str">
        <f>+nodeInfo!A220</f>
        <v>2302</v>
      </c>
      <c r="C155" s="1" t="str">
        <f>+nodeInfo!A155</f>
        <v>2321</v>
      </c>
      <c r="D155" t="s">
        <v>482</v>
      </c>
    </row>
    <row r="156" spans="1:4" x14ac:dyDescent="0.2">
      <c r="A156" s="1" t="s">
        <v>441</v>
      </c>
      <c r="B156" s="1" t="str">
        <f>+nodeInfo!A221</f>
        <v>2402</v>
      </c>
      <c r="C156" s="1" t="str">
        <f>+nodeInfo!A156</f>
        <v>2421</v>
      </c>
      <c r="D156" t="s">
        <v>482</v>
      </c>
    </row>
    <row r="157" spans="1:4" x14ac:dyDescent="0.2">
      <c r="A157" s="1" t="s">
        <v>442</v>
      </c>
      <c r="B157" s="1" t="str">
        <f>+nodeInfo!A222</f>
        <v>2502</v>
      </c>
      <c r="C157" s="1" t="str">
        <f>+nodeInfo!A157</f>
        <v>2521</v>
      </c>
      <c r="D157" t="s">
        <v>482</v>
      </c>
    </row>
    <row r="158" spans="1:4" x14ac:dyDescent="0.2">
      <c r="A158" s="1" t="s">
        <v>443</v>
      </c>
      <c r="B158" s="1" t="str">
        <f>+nodeInfo!A223</f>
        <v>2602</v>
      </c>
      <c r="C158" s="1" t="str">
        <f>+nodeInfo!A158</f>
        <v>2621</v>
      </c>
      <c r="D158" t="s">
        <v>482</v>
      </c>
    </row>
    <row r="159" spans="1:4" x14ac:dyDescent="0.2">
      <c r="A159" s="1" t="s">
        <v>444</v>
      </c>
      <c r="B159" s="1" t="str">
        <f>+nodeInfo!A224</f>
        <v>2702</v>
      </c>
      <c r="C159" s="1" t="str">
        <f>+nodeInfo!A159</f>
        <v>2721</v>
      </c>
      <c r="D159" t="s">
        <v>482</v>
      </c>
    </row>
    <row r="160" spans="1:4" x14ac:dyDescent="0.2">
      <c r="A160" s="1" t="s">
        <v>445</v>
      </c>
      <c r="B160" s="1" t="str">
        <f>+nodeInfo!A225</f>
        <v>2802</v>
      </c>
      <c r="C160" s="1" t="str">
        <f>+nodeInfo!A160</f>
        <v>2821</v>
      </c>
      <c r="D160" t="s">
        <v>482</v>
      </c>
    </row>
    <row r="161" spans="1:4" x14ac:dyDescent="0.2">
      <c r="A161" s="1" t="s">
        <v>446</v>
      </c>
      <c r="B161" s="1" t="str">
        <f>+nodeInfo!A226</f>
        <v>2902</v>
      </c>
      <c r="C161" s="1" t="str">
        <f>+nodeInfo!A161</f>
        <v>2921</v>
      </c>
      <c r="D161" t="s">
        <v>482</v>
      </c>
    </row>
    <row r="162" spans="1:4" x14ac:dyDescent="0.2">
      <c r="A162" s="1" t="s">
        <v>447</v>
      </c>
      <c r="B162" s="1" t="str">
        <f>+nodeInfo!A227</f>
        <v>3002</v>
      </c>
      <c r="C162" s="1" t="str">
        <f>+nodeInfo!A162</f>
        <v>3021</v>
      </c>
      <c r="D162" t="s">
        <v>482</v>
      </c>
    </row>
    <row r="163" spans="1:4" x14ac:dyDescent="0.2">
      <c r="A163" s="1" t="s">
        <v>448</v>
      </c>
      <c r="B163" s="1" t="str">
        <f>+nodeInfo!A228</f>
        <v>3102</v>
      </c>
      <c r="C163" s="1" t="str">
        <f>+nodeInfo!A163</f>
        <v>3121</v>
      </c>
      <c r="D163" t="s">
        <v>482</v>
      </c>
    </row>
    <row r="164" spans="1:4" x14ac:dyDescent="0.2">
      <c r="A164" s="1" t="s">
        <v>449</v>
      </c>
      <c r="B164" s="1" t="str">
        <f>+nodeInfo!A229</f>
        <v>3202</v>
      </c>
      <c r="C164" s="1" t="str">
        <f>+nodeInfo!A164</f>
        <v>3221</v>
      </c>
      <c r="D164" t="s">
        <v>482</v>
      </c>
    </row>
    <row r="165" spans="1:4" x14ac:dyDescent="0.2">
      <c r="A165" s="1" t="s">
        <v>450</v>
      </c>
      <c r="B165" s="1" t="str">
        <f>+nodeInfo!A230</f>
        <v>3302</v>
      </c>
      <c r="C165" s="1" t="str">
        <f>+nodeInfo!A165</f>
        <v>3321</v>
      </c>
      <c r="D165" t="s">
        <v>482</v>
      </c>
    </row>
    <row r="166" spans="1:4" x14ac:dyDescent="0.2">
      <c r="A166" s="1" t="s">
        <v>451</v>
      </c>
      <c r="B166" s="1" t="str">
        <f>+nodeInfo!A231</f>
        <v>3402</v>
      </c>
      <c r="C166" s="1" t="str">
        <f>+nodeInfo!A166</f>
        <v>3421</v>
      </c>
      <c r="D166" t="s">
        <v>482</v>
      </c>
    </row>
    <row r="167" spans="1:4" x14ac:dyDescent="0.2">
      <c r="A167" s="1" t="s">
        <v>452</v>
      </c>
      <c r="B167" s="1" t="str">
        <f>+nodeInfo!A232</f>
        <v>3502</v>
      </c>
      <c r="C167" s="1" t="str">
        <f>+nodeInfo!A167</f>
        <v>3521</v>
      </c>
      <c r="D167" t="s">
        <v>482</v>
      </c>
    </row>
    <row r="168" spans="1:4" x14ac:dyDescent="0.2">
      <c r="A168" s="1" t="s">
        <v>453</v>
      </c>
      <c r="B168" s="1" t="str">
        <f>+nodeInfo!A233</f>
        <v>3602</v>
      </c>
      <c r="C168" s="1" t="str">
        <f>+nodeInfo!A168</f>
        <v>3621</v>
      </c>
      <c r="D168" t="s">
        <v>482</v>
      </c>
    </row>
    <row r="169" spans="1:4" x14ac:dyDescent="0.2">
      <c r="A169" s="1" t="s">
        <v>454</v>
      </c>
      <c r="B169" s="1" t="str">
        <f>+nodeInfo!A234</f>
        <v>3702</v>
      </c>
      <c r="C169" s="1" t="str">
        <f>+nodeInfo!A169</f>
        <v>3721</v>
      </c>
      <c r="D169" t="s">
        <v>482</v>
      </c>
    </row>
    <row r="170" spans="1:4" x14ac:dyDescent="0.2">
      <c r="A170" s="1" t="s">
        <v>455</v>
      </c>
      <c r="B170" s="1" t="str">
        <f>+nodeInfo!A235</f>
        <v>3802</v>
      </c>
      <c r="C170" s="1" t="str">
        <f>+nodeInfo!A170</f>
        <v>3821</v>
      </c>
      <c r="D170" t="s">
        <v>482</v>
      </c>
    </row>
    <row r="171" spans="1:4" x14ac:dyDescent="0.2">
      <c r="A171" s="1" t="s">
        <v>456</v>
      </c>
      <c r="B171" s="1" t="str">
        <f>+nodeInfo!A236</f>
        <v>3902</v>
      </c>
      <c r="C171" s="1" t="str">
        <f>+nodeInfo!A171</f>
        <v>3921</v>
      </c>
      <c r="D171" t="s">
        <v>482</v>
      </c>
    </row>
    <row r="172" spans="1:4" x14ac:dyDescent="0.2">
      <c r="A172" s="1" t="s">
        <v>457</v>
      </c>
      <c r="B172" s="1" t="str">
        <f>+nodeInfo!A237</f>
        <v>4002</v>
      </c>
      <c r="C172" s="1" t="str">
        <f>+nodeInfo!A172</f>
        <v>4021</v>
      </c>
      <c r="D172" t="s">
        <v>482</v>
      </c>
    </row>
    <row r="173" spans="1:4" x14ac:dyDescent="0.2">
      <c r="A173" s="1" t="s">
        <v>458</v>
      </c>
      <c r="B173" s="1" t="str">
        <f>+nodeInfo!A238</f>
        <v>4102</v>
      </c>
      <c r="C173" s="1" t="str">
        <f>+nodeInfo!A173</f>
        <v>4121</v>
      </c>
      <c r="D173" t="s">
        <v>482</v>
      </c>
    </row>
    <row r="174" spans="1:4" x14ac:dyDescent="0.2">
      <c r="A174" s="1" t="s">
        <v>459</v>
      </c>
      <c r="B174" s="1" t="str">
        <f>+nodeInfo!A239</f>
        <v>4202</v>
      </c>
      <c r="C174" s="1" t="str">
        <f>+nodeInfo!A174</f>
        <v>4221</v>
      </c>
      <c r="D174" t="s">
        <v>482</v>
      </c>
    </row>
    <row r="175" spans="1:4" x14ac:dyDescent="0.2">
      <c r="A175" s="1" t="s">
        <v>460</v>
      </c>
      <c r="B175" s="1" t="str">
        <f>+nodeInfo!A240</f>
        <v>4302</v>
      </c>
      <c r="C175" s="1" t="str">
        <f>+nodeInfo!A175</f>
        <v>4321</v>
      </c>
      <c r="D175" t="s">
        <v>482</v>
      </c>
    </row>
    <row r="176" spans="1:4" x14ac:dyDescent="0.2">
      <c r="A176" s="1" t="s">
        <v>461</v>
      </c>
      <c r="B176" s="1" t="str">
        <f>+nodeInfo!A241</f>
        <v>4402</v>
      </c>
      <c r="C176" s="1" t="str">
        <f>+nodeInfo!A176</f>
        <v>4421</v>
      </c>
      <c r="D176" t="s">
        <v>482</v>
      </c>
    </row>
    <row r="177" spans="1:4" x14ac:dyDescent="0.2">
      <c r="A177" s="1" t="s">
        <v>462</v>
      </c>
      <c r="B177" s="1" t="str">
        <f>+nodeInfo!A242</f>
        <v>4502</v>
      </c>
      <c r="C177" s="1" t="str">
        <f>+nodeInfo!A177</f>
        <v>4521</v>
      </c>
      <c r="D177" t="s">
        <v>482</v>
      </c>
    </row>
    <row r="178" spans="1:4" x14ac:dyDescent="0.2">
      <c r="A178" s="1" t="s">
        <v>463</v>
      </c>
      <c r="B178" s="1" t="str">
        <f>+nodeInfo!A243</f>
        <v>4602</v>
      </c>
      <c r="C178" s="1" t="str">
        <f>+nodeInfo!A178</f>
        <v>4621</v>
      </c>
      <c r="D178" t="s">
        <v>482</v>
      </c>
    </row>
    <row r="179" spans="1:4" x14ac:dyDescent="0.2">
      <c r="A179" s="1" t="s">
        <v>464</v>
      </c>
      <c r="B179" s="1" t="str">
        <f>+nodeInfo!A244</f>
        <v>4702</v>
      </c>
      <c r="C179" s="1" t="str">
        <f>+nodeInfo!A179</f>
        <v>4721</v>
      </c>
      <c r="D179" t="s">
        <v>482</v>
      </c>
    </row>
    <row r="180" spans="1:4" x14ac:dyDescent="0.2">
      <c r="A180" s="1" t="s">
        <v>465</v>
      </c>
      <c r="B180" s="1" t="str">
        <f>+nodeInfo!A245</f>
        <v>4802</v>
      </c>
      <c r="C180" s="1" t="str">
        <f>+nodeInfo!A180</f>
        <v>4821</v>
      </c>
      <c r="D180" t="s">
        <v>482</v>
      </c>
    </row>
    <row r="181" spans="1:4" x14ac:dyDescent="0.2">
      <c r="A181" s="1" t="s">
        <v>466</v>
      </c>
      <c r="B181" s="1" t="str">
        <f>+nodeInfo!A246</f>
        <v>4902</v>
      </c>
      <c r="C181" s="1" t="str">
        <f>+nodeInfo!A181</f>
        <v>4921</v>
      </c>
      <c r="D181" t="s">
        <v>482</v>
      </c>
    </row>
    <row r="182" spans="1:4" x14ac:dyDescent="0.2">
      <c r="A182" s="1" t="s">
        <v>467</v>
      </c>
      <c r="B182" s="1" t="str">
        <f>+nodeInfo!A247</f>
        <v>5002</v>
      </c>
      <c r="C182" s="1" t="str">
        <f>+nodeInfo!A182</f>
        <v>5021</v>
      </c>
      <c r="D182" t="s">
        <v>482</v>
      </c>
    </row>
    <row r="183" spans="1:4" x14ac:dyDescent="0.2">
      <c r="A183" s="1" t="s">
        <v>468</v>
      </c>
      <c r="B183" s="1" t="str">
        <f>+nodeInfo!A248</f>
        <v>5102</v>
      </c>
      <c r="C183" s="1" t="str">
        <f>+nodeInfo!A183</f>
        <v>5121</v>
      </c>
      <c r="D183" t="s">
        <v>482</v>
      </c>
    </row>
    <row r="184" spans="1:4" x14ac:dyDescent="0.2">
      <c r="A184" s="1" t="s">
        <v>469</v>
      </c>
      <c r="B184" s="1" t="str">
        <f>+nodeInfo!A249</f>
        <v>5202</v>
      </c>
      <c r="C184" s="1" t="str">
        <f>+nodeInfo!A184</f>
        <v>5221</v>
      </c>
      <c r="D184" t="s">
        <v>482</v>
      </c>
    </row>
    <row r="185" spans="1:4" x14ac:dyDescent="0.2">
      <c r="A185" s="1" t="s">
        <v>470</v>
      </c>
      <c r="B185" s="1" t="str">
        <f>+nodeInfo!A250</f>
        <v>5302</v>
      </c>
      <c r="C185" s="1" t="str">
        <f>+nodeInfo!A185</f>
        <v>5321</v>
      </c>
      <c r="D185" t="s">
        <v>482</v>
      </c>
    </row>
    <row r="186" spans="1:4" x14ac:dyDescent="0.2">
      <c r="A186" s="1" t="s">
        <v>471</v>
      </c>
      <c r="B186" s="1" t="str">
        <f>+nodeInfo!A251</f>
        <v>5402</v>
      </c>
      <c r="C186" s="1" t="str">
        <f>+nodeInfo!A186</f>
        <v>5421</v>
      </c>
      <c r="D186" t="s">
        <v>482</v>
      </c>
    </row>
    <row r="187" spans="1:4" x14ac:dyDescent="0.2">
      <c r="A187" s="1" t="s">
        <v>472</v>
      </c>
      <c r="B187" s="1" t="str">
        <f>+nodeInfo!A252</f>
        <v>5502</v>
      </c>
      <c r="C187" s="1" t="str">
        <f>+nodeInfo!A187</f>
        <v>5521</v>
      </c>
      <c r="D187" t="s">
        <v>482</v>
      </c>
    </row>
    <row r="188" spans="1:4" x14ac:dyDescent="0.2">
      <c r="A188" s="1" t="s">
        <v>473</v>
      </c>
      <c r="B188" s="1" t="str">
        <f>+nodeInfo!A253</f>
        <v>5602</v>
      </c>
      <c r="C188" s="1" t="str">
        <f>+nodeInfo!A188</f>
        <v>5621</v>
      </c>
      <c r="D188" t="s">
        <v>482</v>
      </c>
    </row>
    <row r="189" spans="1:4" x14ac:dyDescent="0.2">
      <c r="A189" s="1" t="s">
        <v>474</v>
      </c>
      <c r="B189" s="1" t="str">
        <f>+nodeInfo!A254</f>
        <v>5702</v>
      </c>
      <c r="C189" s="1" t="str">
        <f>+nodeInfo!A189</f>
        <v>5721</v>
      </c>
      <c r="D189" t="s">
        <v>482</v>
      </c>
    </row>
    <row r="190" spans="1:4" x14ac:dyDescent="0.2">
      <c r="A190" s="1" t="s">
        <v>475</v>
      </c>
      <c r="B190" s="1" t="str">
        <f>+nodeInfo!A255</f>
        <v>5802</v>
      </c>
      <c r="C190" s="1" t="str">
        <f>+nodeInfo!A190</f>
        <v>5821</v>
      </c>
      <c r="D190" t="s">
        <v>482</v>
      </c>
    </row>
    <row r="191" spans="1:4" x14ac:dyDescent="0.2">
      <c r="A191" s="1" t="s">
        <v>476</v>
      </c>
      <c r="B191" s="1" t="str">
        <f>+nodeInfo!A256</f>
        <v>5902</v>
      </c>
      <c r="C191" s="1" t="str">
        <f>+nodeInfo!A191</f>
        <v>5921</v>
      </c>
      <c r="D191" t="s">
        <v>482</v>
      </c>
    </row>
    <row r="192" spans="1:4" x14ac:dyDescent="0.2">
      <c r="A192" s="1" t="s">
        <v>477</v>
      </c>
      <c r="B192" s="1" t="str">
        <f>+nodeInfo!A257</f>
        <v>6002</v>
      </c>
      <c r="C192" s="1" t="str">
        <f>+nodeInfo!A192</f>
        <v>6021</v>
      </c>
      <c r="D192" t="s">
        <v>482</v>
      </c>
    </row>
    <row r="193" spans="1:4" x14ac:dyDescent="0.2">
      <c r="A193" s="1" t="s">
        <v>478</v>
      </c>
      <c r="B193" s="1" t="str">
        <f>+nodeInfo!A258</f>
        <v>6102</v>
      </c>
      <c r="C193" s="1" t="str">
        <f>+nodeInfo!A193</f>
        <v>6121</v>
      </c>
      <c r="D193" t="s">
        <v>482</v>
      </c>
    </row>
    <row r="194" spans="1:4" x14ac:dyDescent="0.2">
      <c r="A194" s="1" t="s">
        <v>479</v>
      </c>
      <c r="B194" s="1" t="str">
        <f>+nodeInfo!A259</f>
        <v>6202</v>
      </c>
      <c r="C194" s="1" t="str">
        <f>+nodeInfo!A194</f>
        <v>6221</v>
      </c>
      <c r="D194" t="s">
        <v>482</v>
      </c>
    </row>
    <row r="195" spans="1:4" x14ac:dyDescent="0.2">
      <c r="A195" s="1" t="s">
        <v>480</v>
      </c>
      <c r="B195" s="1" t="str">
        <f>+nodeInfo!A260</f>
        <v>6302</v>
      </c>
      <c r="C195" s="1" t="str">
        <f>+nodeInfo!A195</f>
        <v>6321</v>
      </c>
      <c r="D195" t="s">
        <v>482</v>
      </c>
    </row>
    <row r="196" spans="1:4" x14ac:dyDescent="0.2">
      <c r="A196" s="1" t="s">
        <v>481</v>
      </c>
      <c r="B196" s="1" t="str">
        <f>+nodeInfo!A261</f>
        <v>6402</v>
      </c>
      <c r="C196" s="1" t="str">
        <f>+nodeInfo!A196</f>
        <v>6421</v>
      </c>
      <c r="D196" t="s">
        <v>482</v>
      </c>
    </row>
    <row r="197" spans="1:4" x14ac:dyDescent="0.2">
      <c r="A197" s="1" t="s">
        <v>483</v>
      </c>
      <c r="B197" s="1" t="str">
        <f>+nodeInfo!A132</f>
        <v>0021</v>
      </c>
      <c r="C197" s="1" t="str">
        <f>+nodeInfo!A262</f>
        <v>0022</v>
      </c>
      <c r="D197" t="s">
        <v>551</v>
      </c>
    </row>
    <row r="198" spans="1:4" x14ac:dyDescent="0.2">
      <c r="A198" s="1" t="s">
        <v>487</v>
      </c>
      <c r="B198" s="1" t="str">
        <f>+nodeInfo!A133</f>
        <v>0121</v>
      </c>
      <c r="C198" s="1" t="str">
        <f>+nodeInfo!A263</f>
        <v>0122</v>
      </c>
      <c r="D198" t="s">
        <v>551</v>
      </c>
    </row>
    <row r="199" spans="1:4" x14ac:dyDescent="0.2">
      <c r="A199" s="1" t="s">
        <v>488</v>
      </c>
      <c r="B199" s="1" t="str">
        <f>+nodeInfo!A134</f>
        <v>0221</v>
      </c>
      <c r="C199" s="1" t="str">
        <f>+nodeInfo!A264</f>
        <v>0222</v>
      </c>
      <c r="D199" t="s">
        <v>551</v>
      </c>
    </row>
    <row r="200" spans="1:4" x14ac:dyDescent="0.2">
      <c r="A200" s="1" t="s">
        <v>489</v>
      </c>
      <c r="B200" s="1" t="str">
        <f>+nodeInfo!A135</f>
        <v>0321</v>
      </c>
      <c r="C200" s="1" t="str">
        <f>+nodeInfo!A265</f>
        <v>0322</v>
      </c>
      <c r="D200" t="s">
        <v>551</v>
      </c>
    </row>
    <row r="201" spans="1:4" x14ac:dyDescent="0.2">
      <c r="A201" s="1" t="s">
        <v>490</v>
      </c>
      <c r="B201" s="1" t="str">
        <f>+nodeInfo!A136</f>
        <v>0421</v>
      </c>
      <c r="C201" s="1" t="str">
        <f>+nodeInfo!A266</f>
        <v>0422</v>
      </c>
      <c r="D201" t="s">
        <v>551</v>
      </c>
    </row>
    <row r="202" spans="1:4" x14ac:dyDescent="0.2">
      <c r="A202" s="1" t="s">
        <v>491</v>
      </c>
      <c r="B202" s="1" t="str">
        <f>+nodeInfo!A137</f>
        <v>0521</v>
      </c>
      <c r="C202" s="1" t="str">
        <f>+nodeInfo!A267</f>
        <v>0522</v>
      </c>
      <c r="D202" t="s">
        <v>551</v>
      </c>
    </row>
    <row r="203" spans="1:4" x14ac:dyDescent="0.2">
      <c r="A203" s="1" t="s">
        <v>492</v>
      </c>
      <c r="B203" s="1" t="str">
        <f>+nodeInfo!A138</f>
        <v>0621</v>
      </c>
      <c r="C203" s="1" t="str">
        <f>+nodeInfo!A268</f>
        <v>0622</v>
      </c>
      <c r="D203" t="s">
        <v>551</v>
      </c>
    </row>
    <row r="204" spans="1:4" x14ac:dyDescent="0.2">
      <c r="A204" s="1" t="s">
        <v>493</v>
      </c>
      <c r="B204" s="1" t="str">
        <f>+nodeInfo!A139</f>
        <v>0721</v>
      </c>
      <c r="C204" s="1" t="str">
        <f>+nodeInfo!A269</f>
        <v>0722</v>
      </c>
      <c r="D204" t="s">
        <v>551</v>
      </c>
    </row>
    <row r="205" spans="1:4" x14ac:dyDescent="0.2">
      <c r="A205" s="1" t="s">
        <v>494</v>
      </c>
      <c r="B205" s="1" t="str">
        <f>+nodeInfo!A140</f>
        <v>0821</v>
      </c>
      <c r="C205" s="1" t="str">
        <f>+nodeInfo!A270</f>
        <v>0822</v>
      </c>
      <c r="D205" t="s">
        <v>551</v>
      </c>
    </row>
    <row r="206" spans="1:4" x14ac:dyDescent="0.2">
      <c r="A206" s="1" t="s">
        <v>495</v>
      </c>
      <c r="B206" s="1" t="str">
        <f>+nodeInfo!A141</f>
        <v>0921</v>
      </c>
      <c r="C206" s="1" t="str">
        <f>+nodeInfo!A271</f>
        <v>0922</v>
      </c>
      <c r="D206" t="s">
        <v>551</v>
      </c>
    </row>
    <row r="207" spans="1:4" x14ac:dyDescent="0.2">
      <c r="A207" s="1" t="s">
        <v>496</v>
      </c>
      <c r="B207" s="1" t="str">
        <f>+nodeInfo!A142</f>
        <v>1021</v>
      </c>
      <c r="C207" s="1" t="str">
        <f>+nodeInfo!A272</f>
        <v>1022</v>
      </c>
      <c r="D207" t="s">
        <v>551</v>
      </c>
    </row>
    <row r="208" spans="1:4" x14ac:dyDescent="0.2">
      <c r="A208" s="1" t="s">
        <v>497</v>
      </c>
      <c r="B208" s="1" t="str">
        <f>+nodeInfo!A143</f>
        <v>1121</v>
      </c>
      <c r="C208" s="1" t="str">
        <f>+nodeInfo!A273</f>
        <v>1122</v>
      </c>
      <c r="D208" t="s">
        <v>551</v>
      </c>
    </row>
    <row r="209" spans="1:4" x14ac:dyDescent="0.2">
      <c r="A209" s="1" t="s">
        <v>498</v>
      </c>
      <c r="B209" s="1" t="str">
        <f>+nodeInfo!A144</f>
        <v>1221</v>
      </c>
      <c r="C209" s="1" t="str">
        <f>+nodeInfo!A274</f>
        <v>1222</v>
      </c>
      <c r="D209" t="s">
        <v>551</v>
      </c>
    </row>
    <row r="210" spans="1:4" x14ac:dyDescent="0.2">
      <c r="A210" s="1" t="s">
        <v>499</v>
      </c>
      <c r="B210" s="1" t="str">
        <f>+nodeInfo!A145</f>
        <v>1321</v>
      </c>
      <c r="C210" s="1" t="str">
        <f>+nodeInfo!A275</f>
        <v>1322</v>
      </c>
      <c r="D210" t="s">
        <v>551</v>
      </c>
    </row>
    <row r="211" spans="1:4" x14ac:dyDescent="0.2">
      <c r="A211" s="1" t="s">
        <v>500</v>
      </c>
      <c r="B211" s="1" t="str">
        <f>+nodeInfo!A146</f>
        <v>1421</v>
      </c>
      <c r="C211" s="1" t="str">
        <f>+nodeInfo!A276</f>
        <v>1422</v>
      </c>
      <c r="D211" t="s">
        <v>551</v>
      </c>
    </row>
    <row r="212" spans="1:4" x14ac:dyDescent="0.2">
      <c r="A212" s="1" t="s">
        <v>501</v>
      </c>
      <c r="B212" s="1" t="str">
        <f>+nodeInfo!A147</f>
        <v>1521</v>
      </c>
      <c r="C212" s="1" t="str">
        <f>+nodeInfo!A277</f>
        <v>1522</v>
      </c>
      <c r="D212" t="s">
        <v>551</v>
      </c>
    </row>
    <row r="213" spans="1:4" x14ac:dyDescent="0.2">
      <c r="A213" s="1" t="s">
        <v>502</v>
      </c>
      <c r="B213" s="1" t="str">
        <f>+nodeInfo!A148</f>
        <v>1621</v>
      </c>
      <c r="C213" s="1" t="str">
        <f>+nodeInfo!A278</f>
        <v>1622</v>
      </c>
      <c r="D213" t="s">
        <v>551</v>
      </c>
    </row>
    <row r="214" spans="1:4" x14ac:dyDescent="0.2">
      <c r="A214" s="1" t="s">
        <v>503</v>
      </c>
      <c r="B214" s="1" t="str">
        <f>+nodeInfo!A149</f>
        <v>1721</v>
      </c>
      <c r="C214" s="1" t="str">
        <f>+nodeInfo!A279</f>
        <v>1722</v>
      </c>
      <c r="D214" t="s">
        <v>551</v>
      </c>
    </row>
    <row r="215" spans="1:4" x14ac:dyDescent="0.2">
      <c r="A215" s="1" t="s">
        <v>504</v>
      </c>
      <c r="B215" s="1" t="str">
        <f>+nodeInfo!A150</f>
        <v>1821</v>
      </c>
      <c r="C215" s="1" t="str">
        <f>+nodeInfo!A280</f>
        <v>1822</v>
      </c>
      <c r="D215" t="s">
        <v>551</v>
      </c>
    </row>
    <row r="216" spans="1:4" x14ac:dyDescent="0.2">
      <c r="A216" s="1" t="s">
        <v>505</v>
      </c>
      <c r="B216" s="1" t="str">
        <f>+nodeInfo!A151</f>
        <v>1921</v>
      </c>
      <c r="C216" s="1" t="str">
        <f>+nodeInfo!A281</f>
        <v>1922</v>
      </c>
      <c r="D216" t="s">
        <v>551</v>
      </c>
    </row>
    <row r="217" spans="1:4" x14ac:dyDescent="0.2">
      <c r="A217" s="1" t="s">
        <v>506</v>
      </c>
      <c r="B217" s="1" t="str">
        <f>+nodeInfo!A152</f>
        <v>2021</v>
      </c>
      <c r="C217" s="1" t="str">
        <f>+nodeInfo!A282</f>
        <v>2022</v>
      </c>
      <c r="D217" t="s">
        <v>551</v>
      </c>
    </row>
    <row r="218" spans="1:4" x14ac:dyDescent="0.2">
      <c r="A218" s="1" t="s">
        <v>507</v>
      </c>
      <c r="B218" s="1" t="str">
        <f>+nodeInfo!A153</f>
        <v>2121</v>
      </c>
      <c r="C218" s="1" t="str">
        <f>+nodeInfo!A283</f>
        <v>2122</v>
      </c>
      <c r="D218" t="s">
        <v>551</v>
      </c>
    </row>
    <row r="219" spans="1:4" x14ac:dyDescent="0.2">
      <c r="A219" s="1" t="s">
        <v>508</v>
      </c>
      <c r="B219" s="1" t="str">
        <f>+nodeInfo!A154</f>
        <v>2221</v>
      </c>
      <c r="C219" s="1" t="str">
        <f>+nodeInfo!A284</f>
        <v>2222</v>
      </c>
      <c r="D219" t="s">
        <v>551</v>
      </c>
    </row>
    <row r="220" spans="1:4" x14ac:dyDescent="0.2">
      <c r="A220" s="1" t="s">
        <v>509</v>
      </c>
      <c r="B220" s="1" t="str">
        <f>+nodeInfo!A155</f>
        <v>2321</v>
      </c>
      <c r="C220" s="1" t="str">
        <f>+nodeInfo!A285</f>
        <v>2322</v>
      </c>
      <c r="D220" t="s">
        <v>551</v>
      </c>
    </row>
    <row r="221" spans="1:4" x14ac:dyDescent="0.2">
      <c r="A221" s="1" t="s">
        <v>510</v>
      </c>
      <c r="B221" s="1" t="str">
        <f>+nodeInfo!A156</f>
        <v>2421</v>
      </c>
      <c r="C221" s="1" t="str">
        <f>+nodeInfo!A286</f>
        <v>2422</v>
      </c>
      <c r="D221" t="s">
        <v>551</v>
      </c>
    </row>
    <row r="222" spans="1:4" x14ac:dyDescent="0.2">
      <c r="A222" s="1" t="s">
        <v>511</v>
      </c>
      <c r="B222" s="1" t="str">
        <f>+nodeInfo!A157</f>
        <v>2521</v>
      </c>
      <c r="C222" s="1" t="str">
        <f>+nodeInfo!A287</f>
        <v>2522</v>
      </c>
      <c r="D222" t="s">
        <v>551</v>
      </c>
    </row>
    <row r="223" spans="1:4" x14ac:dyDescent="0.2">
      <c r="A223" s="1" t="s">
        <v>512</v>
      </c>
      <c r="B223" s="1" t="str">
        <f>+nodeInfo!A158</f>
        <v>2621</v>
      </c>
      <c r="C223" s="1" t="str">
        <f>+nodeInfo!A288</f>
        <v>2622</v>
      </c>
      <c r="D223" t="s">
        <v>551</v>
      </c>
    </row>
    <row r="224" spans="1:4" x14ac:dyDescent="0.2">
      <c r="A224" s="1" t="s">
        <v>513</v>
      </c>
      <c r="B224" s="1" t="str">
        <f>+nodeInfo!A159</f>
        <v>2721</v>
      </c>
      <c r="C224" s="1" t="str">
        <f>+nodeInfo!A289</f>
        <v>2722</v>
      </c>
      <c r="D224" t="s">
        <v>551</v>
      </c>
    </row>
    <row r="225" spans="1:4" x14ac:dyDescent="0.2">
      <c r="A225" s="1" t="s">
        <v>514</v>
      </c>
      <c r="B225" s="1" t="str">
        <f>+nodeInfo!A160</f>
        <v>2821</v>
      </c>
      <c r="C225" s="1" t="str">
        <f>+nodeInfo!A290</f>
        <v>2822</v>
      </c>
      <c r="D225" t="s">
        <v>551</v>
      </c>
    </row>
    <row r="226" spans="1:4" x14ac:dyDescent="0.2">
      <c r="A226" s="1" t="s">
        <v>515</v>
      </c>
      <c r="B226" s="1" t="str">
        <f>+nodeInfo!A161</f>
        <v>2921</v>
      </c>
      <c r="C226" s="1" t="str">
        <f>+nodeInfo!A291</f>
        <v>2922</v>
      </c>
      <c r="D226" t="s">
        <v>551</v>
      </c>
    </row>
    <row r="227" spans="1:4" x14ac:dyDescent="0.2">
      <c r="A227" s="1" t="s">
        <v>516</v>
      </c>
      <c r="B227" s="1" t="str">
        <f>+nodeInfo!A162</f>
        <v>3021</v>
      </c>
      <c r="C227" s="1" t="str">
        <f>+nodeInfo!A292</f>
        <v>3022</v>
      </c>
      <c r="D227" t="s">
        <v>551</v>
      </c>
    </row>
    <row r="228" spans="1:4" x14ac:dyDescent="0.2">
      <c r="A228" s="1" t="s">
        <v>517</v>
      </c>
      <c r="B228" s="1" t="str">
        <f>+nodeInfo!A163</f>
        <v>3121</v>
      </c>
      <c r="C228" s="1" t="str">
        <f>+nodeInfo!A293</f>
        <v>3122</v>
      </c>
      <c r="D228" t="s">
        <v>551</v>
      </c>
    </row>
    <row r="229" spans="1:4" x14ac:dyDescent="0.2">
      <c r="A229" s="1" t="s">
        <v>518</v>
      </c>
      <c r="B229" s="1" t="str">
        <f>+nodeInfo!A164</f>
        <v>3221</v>
      </c>
      <c r="C229" s="1" t="str">
        <f>+nodeInfo!A294</f>
        <v>3222</v>
      </c>
      <c r="D229" t="s">
        <v>551</v>
      </c>
    </row>
    <row r="230" spans="1:4" x14ac:dyDescent="0.2">
      <c r="A230" s="1" t="s">
        <v>519</v>
      </c>
      <c r="B230" s="1" t="str">
        <f>+nodeInfo!A165</f>
        <v>3321</v>
      </c>
      <c r="C230" s="1" t="str">
        <f>+nodeInfo!A295</f>
        <v>3322</v>
      </c>
      <c r="D230" t="s">
        <v>551</v>
      </c>
    </row>
    <row r="231" spans="1:4" x14ac:dyDescent="0.2">
      <c r="A231" s="1" t="s">
        <v>520</v>
      </c>
      <c r="B231" s="1" t="str">
        <f>+nodeInfo!A166</f>
        <v>3421</v>
      </c>
      <c r="C231" s="1" t="str">
        <f>+nodeInfo!A296</f>
        <v>3422</v>
      </c>
      <c r="D231" t="s">
        <v>551</v>
      </c>
    </row>
    <row r="232" spans="1:4" x14ac:dyDescent="0.2">
      <c r="A232" s="1" t="s">
        <v>521</v>
      </c>
      <c r="B232" s="1" t="str">
        <f>+nodeInfo!A167</f>
        <v>3521</v>
      </c>
      <c r="C232" s="1" t="str">
        <f>+nodeInfo!A297</f>
        <v>3522</v>
      </c>
      <c r="D232" t="s">
        <v>551</v>
      </c>
    </row>
    <row r="233" spans="1:4" x14ac:dyDescent="0.2">
      <c r="A233" s="1" t="s">
        <v>522</v>
      </c>
      <c r="B233" s="1" t="str">
        <f>+nodeInfo!A168</f>
        <v>3621</v>
      </c>
      <c r="C233" s="1" t="str">
        <f>+nodeInfo!A298</f>
        <v>3622</v>
      </c>
      <c r="D233" t="s">
        <v>551</v>
      </c>
    </row>
    <row r="234" spans="1:4" x14ac:dyDescent="0.2">
      <c r="A234" s="1" t="s">
        <v>523</v>
      </c>
      <c r="B234" s="1" t="str">
        <f>+nodeInfo!A169</f>
        <v>3721</v>
      </c>
      <c r="C234" s="1" t="str">
        <f>+nodeInfo!A299</f>
        <v>3722</v>
      </c>
      <c r="D234" t="s">
        <v>551</v>
      </c>
    </row>
    <row r="235" spans="1:4" x14ac:dyDescent="0.2">
      <c r="A235" s="1" t="s">
        <v>524</v>
      </c>
      <c r="B235" s="1" t="str">
        <f>+nodeInfo!A170</f>
        <v>3821</v>
      </c>
      <c r="C235" s="1" t="str">
        <f>+nodeInfo!A300</f>
        <v>3822</v>
      </c>
      <c r="D235" t="s">
        <v>551</v>
      </c>
    </row>
    <row r="236" spans="1:4" x14ac:dyDescent="0.2">
      <c r="A236" s="1" t="s">
        <v>525</v>
      </c>
      <c r="B236" s="1" t="str">
        <f>+nodeInfo!A171</f>
        <v>3921</v>
      </c>
      <c r="C236" s="1" t="str">
        <f>+nodeInfo!A301</f>
        <v>3922</v>
      </c>
      <c r="D236" t="s">
        <v>551</v>
      </c>
    </row>
    <row r="237" spans="1:4" x14ac:dyDescent="0.2">
      <c r="A237" s="1" t="s">
        <v>526</v>
      </c>
      <c r="B237" s="1" t="str">
        <f>+nodeInfo!A172</f>
        <v>4021</v>
      </c>
      <c r="C237" s="1" t="str">
        <f>+nodeInfo!A302</f>
        <v>4022</v>
      </c>
      <c r="D237" t="s">
        <v>551</v>
      </c>
    </row>
    <row r="238" spans="1:4" x14ac:dyDescent="0.2">
      <c r="A238" s="1" t="s">
        <v>527</v>
      </c>
      <c r="B238" s="1" t="str">
        <f>+nodeInfo!A173</f>
        <v>4121</v>
      </c>
      <c r="C238" s="1" t="str">
        <f>+nodeInfo!A303</f>
        <v>4122</v>
      </c>
      <c r="D238" t="s">
        <v>551</v>
      </c>
    </row>
    <row r="239" spans="1:4" x14ac:dyDescent="0.2">
      <c r="A239" s="1" t="s">
        <v>528</v>
      </c>
      <c r="B239" s="1" t="str">
        <f>+nodeInfo!A174</f>
        <v>4221</v>
      </c>
      <c r="C239" s="1" t="str">
        <f>+nodeInfo!A304</f>
        <v>4222</v>
      </c>
      <c r="D239" t="s">
        <v>551</v>
      </c>
    </row>
    <row r="240" spans="1:4" x14ac:dyDescent="0.2">
      <c r="A240" s="1" t="s">
        <v>529</v>
      </c>
      <c r="B240" s="1" t="str">
        <f>+nodeInfo!A175</f>
        <v>4321</v>
      </c>
      <c r="C240" s="1" t="str">
        <f>+nodeInfo!A305</f>
        <v>4322</v>
      </c>
      <c r="D240" t="s">
        <v>551</v>
      </c>
    </row>
    <row r="241" spans="1:4" x14ac:dyDescent="0.2">
      <c r="A241" s="1" t="s">
        <v>530</v>
      </c>
      <c r="B241" s="1" t="str">
        <f>+nodeInfo!A176</f>
        <v>4421</v>
      </c>
      <c r="C241" s="1" t="str">
        <f>+nodeInfo!A306</f>
        <v>4422</v>
      </c>
      <c r="D241" t="s">
        <v>551</v>
      </c>
    </row>
    <row r="242" spans="1:4" x14ac:dyDescent="0.2">
      <c r="A242" s="1" t="s">
        <v>531</v>
      </c>
      <c r="B242" s="1" t="str">
        <f>+nodeInfo!A177</f>
        <v>4521</v>
      </c>
      <c r="C242" s="1" t="str">
        <f>+nodeInfo!A307</f>
        <v>4522</v>
      </c>
      <c r="D242" t="s">
        <v>551</v>
      </c>
    </row>
    <row r="243" spans="1:4" x14ac:dyDescent="0.2">
      <c r="A243" s="1" t="s">
        <v>532</v>
      </c>
      <c r="B243" s="1" t="str">
        <f>+nodeInfo!A178</f>
        <v>4621</v>
      </c>
      <c r="C243" s="1" t="str">
        <f>+nodeInfo!A308</f>
        <v>4622</v>
      </c>
      <c r="D243" t="s">
        <v>551</v>
      </c>
    </row>
    <row r="244" spans="1:4" x14ac:dyDescent="0.2">
      <c r="A244" s="1" t="s">
        <v>533</v>
      </c>
      <c r="B244" s="1" t="str">
        <f>+nodeInfo!A179</f>
        <v>4721</v>
      </c>
      <c r="C244" s="1" t="str">
        <f>+nodeInfo!A309</f>
        <v>4722</v>
      </c>
      <c r="D244" t="s">
        <v>551</v>
      </c>
    </row>
    <row r="245" spans="1:4" x14ac:dyDescent="0.2">
      <c r="A245" s="1" t="s">
        <v>534</v>
      </c>
      <c r="B245" s="1" t="str">
        <f>+nodeInfo!A180</f>
        <v>4821</v>
      </c>
      <c r="C245" s="1" t="str">
        <f>+nodeInfo!A310</f>
        <v>4822</v>
      </c>
      <c r="D245" t="s">
        <v>551</v>
      </c>
    </row>
    <row r="246" spans="1:4" x14ac:dyDescent="0.2">
      <c r="A246" s="1" t="s">
        <v>535</v>
      </c>
      <c r="B246" s="1" t="str">
        <f>+nodeInfo!A181</f>
        <v>4921</v>
      </c>
      <c r="C246" s="1" t="str">
        <f>+nodeInfo!A311</f>
        <v>4922</v>
      </c>
      <c r="D246" t="s">
        <v>551</v>
      </c>
    </row>
    <row r="247" spans="1:4" x14ac:dyDescent="0.2">
      <c r="A247" s="1" t="s">
        <v>536</v>
      </c>
      <c r="B247" s="1" t="str">
        <f>+nodeInfo!A182</f>
        <v>5021</v>
      </c>
      <c r="C247" s="1" t="str">
        <f>+nodeInfo!A312</f>
        <v>5022</v>
      </c>
      <c r="D247" t="s">
        <v>551</v>
      </c>
    </row>
    <row r="248" spans="1:4" x14ac:dyDescent="0.2">
      <c r="A248" s="1" t="s">
        <v>537</v>
      </c>
      <c r="B248" s="1" t="str">
        <f>+nodeInfo!A183</f>
        <v>5121</v>
      </c>
      <c r="C248" s="1" t="str">
        <f>+nodeInfo!A313</f>
        <v>5122</v>
      </c>
      <c r="D248" t="s">
        <v>551</v>
      </c>
    </row>
    <row r="249" spans="1:4" x14ac:dyDescent="0.2">
      <c r="A249" s="1" t="s">
        <v>538</v>
      </c>
      <c r="B249" s="1" t="str">
        <f>+nodeInfo!A184</f>
        <v>5221</v>
      </c>
      <c r="C249" s="1" t="str">
        <f>+nodeInfo!A314</f>
        <v>5222</v>
      </c>
      <c r="D249" t="s">
        <v>551</v>
      </c>
    </row>
    <row r="250" spans="1:4" x14ac:dyDescent="0.2">
      <c r="A250" s="1" t="s">
        <v>539</v>
      </c>
      <c r="B250" s="1" t="str">
        <f>+nodeInfo!A185</f>
        <v>5321</v>
      </c>
      <c r="C250" s="1" t="str">
        <f>+nodeInfo!A315</f>
        <v>5322</v>
      </c>
      <c r="D250" t="s">
        <v>551</v>
      </c>
    </row>
    <row r="251" spans="1:4" x14ac:dyDescent="0.2">
      <c r="A251" s="1" t="s">
        <v>540</v>
      </c>
      <c r="B251" s="1" t="str">
        <f>+nodeInfo!A186</f>
        <v>5421</v>
      </c>
      <c r="C251" s="1" t="str">
        <f>+nodeInfo!A316</f>
        <v>5422</v>
      </c>
      <c r="D251" t="s">
        <v>551</v>
      </c>
    </row>
    <row r="252" spans="1:4" x14ac:dyDescent="0.2">
      <c r="A252" s="1" t="s">
        <v>541</v>
      </c>
      <c r="B252" s="1" t="str">
        <f>+nodeInfo!A187</f>
        <v>5521</v>
      </c>
      <c r="C252" s="1" t="str">
        <f>+nodeInfo!A317</f>
        <v>5522</v>
      </c>
      <c r="D252" t="s">
        <v>551</v>
      </c>
    </row>
    <row r="253" spans="1:4" x14ac:dyDescent="0.2">
      <c r="A253" s="1" t="s">
        <v>542</v>
      </c>
      <c r="B253" s="1" t="str">
        <f>+nodeInfo!A188</f>
        <v>5621</v>
      </c>
      <c r="C253" s="1" t="str">
        <f>+nodeInfo!A318</f>
        <v>5622</v>
      </c>
      <c r="D253" t="s">
        <v>551</v>
      </c>
    </row>
    <row r="254" spans="1:4" x14ac:dyDescent="0.2">
      <c r="A254" s="1" t="s">
        <v>543</v>
      </c>
      <c r="B254" s="1" t="str">
        <f>+nodeInfo!A189</f>
        <v>5721</v>
      </c>
      <c r="C254" s="1" t="str">
        <f>+nodeInfo!A319</f>
        <v>5722</v>
      </c>
      <c r="D254" t="s">
        <v>551</v>
      </c>
    </row>
    <row r="255" spans="1:4" x14ac:dyDescent="0.2">
      <c r="A255" s="1" t="s">
        <v>544</v>
      </c>
      <c r="B255" s="1" t="str">
        <f>+nodeInfo!A190</f>
        <v>5821</v>
      </c>
      <c r="C255" s="1" t="str">
        <f>+nodeInfo!A320</f>
        <v>5822</v>
      </c>
      <c r="D255" t="s">
        <v>551</v>
      </c>
    </row>
    <row r="256" spans="1:4" x14ac:dyDescent="0.2">
      <c r="A256" s="1" t="s">
        <v>545</v>
      </c>
      <c r="B256" s="1" t="str">
        <f>+nodeInfo!A191</f>
        <v>5921</v>
      </c>
      <c r="C256" s="1" t="str">
        <f>+nodeInfo!A321</f>
        <v>5922</v>
      </c>
      <c r="D256" t="s">
        <v>551</v>
      </c>
    </row>
    <row r="257" spans="1:4" x14ac:dyDescent="0.2">
      <c r="A257" s="1" t="s">
        <v>546</v>
      </c>
      <c r="B257" s="1" t="str">
        <f>+nodeInfo!A192</f>
        <v>6021</v>
      </c>
      <c r="C257" s="1" t="str">
        <f>+nodeInfo!A322</f>
        <v>6022</v>
      </c>
      <c r="D257" t="s">
        <v>551</v>
      </c>
    </row>
    <row r="258" spans="1:4" x14ac:dyDescent="0.2">
      <c r="A258" s="1" t="s">
        <v>547</v>
      </c>
      <c r="B258" s="1" t="str">
        <f>+nodeInfo!A193</f>
        <v>6121</v>
      </c>
      <c r="C258" s="1" t="str">
        <f>+nodeInfo!A323</f>
        <v>6122</v>
      </c>
      <c r="D258" t="s">
        <v>551</v>
      </c>
    </row>
    <row r="259" spans="1:4" x14ac:dyDescent="0.2">
      <c r="A259" s="1" t="s">
        <v>548</v>
      </c>
      <c r="B259" s="1" t="str">
        <f>+nodeInfo!A194</f>
        <v>6221</v>
      </c>
      <c r="C259" s="1" t="str">
        <f>+nodeInfo!A324</f>
        <v>6222</v>
      </c>
      <c r="D259" t="s">
        <v>551</v>
      </c>
    </row>
    <row r="260" spans="1:4" x14ac:dyDescent="0.2">
      <c r="A260" s="1" t="s">
        <v>549</v>
      </c>
      <c r="B260" s="1" t="str">
        <f>+nodeInfo!A195</f>
        <v>6321</v>
      </c>
      <c r="C260" s="1" t="str">
        <f>+nodeInfo!A325</f>
        <v>6322</v>
      </c>
      <c r="D260" t="s">
        <v>551</v>
      </c>
    </row>
    <row r="261" spans="1:4" x14ac:dyDescent="0.2">
      <c r="A261" s="1" t="s">
        <v>550</v>
      </c>
      <c r="B261" s="1" t="str">
        <f>+nodeInfo!A196</f>
        <v>6421</v>
      </c>
      <c r="C261" s="1" t="str">
        <f>+nodeInfo!A326</f>
        <v>6422</v>
      </c>
      <c r="D261" t="s">
        <v>551</v>
      </c>
    </row>
    <row r="262" spans="1:4" x14ac:dyDescent="0.2">
      <c r="A262" s="1" t="s">
        <v>484</v>
      </c>
      <c r="B262" s="1" t="str">
        <f>+nodeInfo!A197</f>
        <v>0002</v>
      </c>
      <c r="C262" s="1" t="str">
        <f>+nodeInfo!A198</f>
        <v>0102</v>
      </c>
      <c r="D262" t="s">
        <v>613</v>
      </c>
    </row>
    <row r="263" spans="1:4" x14ac:dyDescent="0.2">
      <c r="A263" s="1" t="s">
        <v>485</v>
      </c>
      <c r="B263" s="1" t="str">
        <f>+nodeInfo!A198</f>
        <v>0102</v>
      </c>
      <c r="C263" s="1" t="str">
        <f>+nodeInfo!A199</f>
        <v>0202</v>
      </c>
      <c r="D263" t="s">
        <v>613</v>
      </c>
    </row>
    <row r="264" spans="1:4" x14ac:dyDescent="0.2">
      <c r="A264" s="1" t="s">
        <v>486</v>
      </c>
      <c r="B264" s="1" t="str">
        <f>+nodeInfo!A199</f>
        <v>0202</v>
      </c>
      <c r="C264" s="1" t="str">
        <f>+nodeInfo!A200</f>
        <v>0302</v>
      </c>
      <c r="D264" t="s">
        <v>613</v>
      </c>
    </row>
    <row r="265" spans="1:4" x14ac:dyDescent="0.2">
      <c r="A265" s="1" t="s">
        <v>552</v>
      </c>
      <c r="B265" s="1" t="str">
        <f>+nodeInfo!A200</f>
        <v>0302</v>
      </c>
      <c r="C265" s="1" t="str">
        <f>+nodeInfo!A201</f>
        <v>0402</v>
      </c>
      <c r="D265" t="s">
        <v>613</v>
      </c>
    </row>
    <row r="266" spans="1:4" x14ac:dyDescent="0.2">
      <c r="A266" s="1" t="s">
        <v>553</v>
      </c>
      <c r="B266" s="1" t="str">
        <f>+nodeInfo!A201</f>
        <v>0402</v>
      </c>
      <c r="C266" s="1" t="str">
        <f>+nodeInfo!A202</f>
        <v>0502</v>
      </c>
      <c r="D266" t="s">
        <v>613</v>
      </c>
    </row>
    <row r="267" spans="1:4" x14ac:dyDescent="0.2">
      <c r="A267" s="1" t="s">
        <v>554</v>
      </c>
      <c r="B267" s="1" t="str">
        <f>+nodeInfo!A202</f>
        <v>0502</v>
      </c>
      <c r="C267" s="1" t="str">
        <f>+nodeInfo!A203</f>
        <v>0602</v>
      </c>
      <c r="D267" t="s">
        <v>613</v>
      </c>
    </row>
    <row r="268" spans="1:4" x14ac:dyDescent="0.2">
      <c r="A268" s="1" t="s">
        <v>555</v>
      </c>
      <c r="B268" s="1" t="str">
        <f>+nodeInfo!A203</f>
        <v>0602</v>
      </c>
      <c r="C268" s="1" t="str">
        <f>+nodeInfo!A204</f>
        <v>0702</v>
      </c>
      <c r="D268" t="s">
        <v>613</v>
      </c>
    </row>
    <row r="269" spans="1:4" x14ac:dyDescent="0.2">
      <c r="A269" s="1" t="s">
        <v>556</v>
      </c>
      <c r="B269" s="1" t="str">
        <f>+nodeInfo!A204</f>
        <v>0702</v>
      </c>
      <c r="C269" s="1" t="str">
        <f>+nodeInfo!A205</f>
        <v>0802</v>
      </c>
      <c r="D269" t="s">
        <v>613</v>
      </c>
    </row>
    <row r="270" spans="1:4" x14ac:dyDescent="0.2">
      <c r="A270" s="1" t="s">
        <v>557</v>
      </c>
      <c r="B270" s="1" t="str">
        <f>+nodeInfo!A205</f>
        <v>0802</v>
      </c>
      <c r="C270" s="1" t="str">
        <f>+nodeInfo!A206</f>
        <v>0902</v>
      </c>
      <c r="D270" t="s">
        <v>613</v>
      </c>
    </row>
    <row r="271" spans="1:4" x14ac:dyDescent="0.2">
      <c r="A271" s="1" t="s">
        <v>558</v>
      </c>
      <c r="B271" s="1" t="str">
        <f>+nodeInfo!A206</f>
        <v>0902</v>
      </c>
      <c r="C271" s="1" t="str">
        <f>+nodeInfo!A207</f>
        <v>1002</v>
      </c>
      <c r="D271" t="s">
        <v>613</v>
      </c>
    </row>
    <row r="272" spans="1:4" x14ac:dyDescent="0.2">
      <c r="A272" s="1" t="s">
        <v>559</v>
      </c>
      <c r="B272" s="1" t="str">
        <f>+nodeInfo!A207</f>
        <v>1002</v>
      </c>
      <c r="C272" s="1" t="str">
        <f>+nodeInfo!A208</f>
        <v>1102</v>
      </c>
      <c r="D272" t="s">
        <v>613</v>
      </c>
    </row>
    <row r="273" spans="1:4" x14ac:dyDescent="0.2">
      <c r="A273" s="1" t="s">
        <v>560</v>
      </c>
      <c r="B273" s="1" t="str">
        <f>+nodeInfo!A208</f>
        <v>1102</v>
      </c>
      <c r="C273" s="1" t="str">
        <f>+nodeInfo!A209</f>
        <v>1202</v>
      </c>
      <c r="D273" t="s">
        <v>613</v>
      </c>
    </row>
    <row r="274" spans="1:4" x14ac:dyDescent="0.2">
      <c r="A274" s="1" t="s">
        <v>561</v>
      </c>
      <c r="B274" s="1" t="str">
        <f>+nodeInfo!A209</f>
        <v>1202</v>
      </c>
      <c r="C274" s="1" t="str">
        <f>+nodeInfo!A210</f>
        <v>1302</v>
      </c>
      <c r="D274" t="s">
        <v>613</v>
      </c>
    </row>
    <row r="275" spans="1:4" x14ac:dyDescent="0.2">
      <c r="A275" s="1" t="s">
        <v>562</v>
      </c>
      <c r="B275" s="1" t="str">
        <f>+nodeInfo!A210</f>
        <v>1302</v>
      </c>
      <c r="C275" s="1" t="str">
        <f>+nodeInfo!A211</f>
        <v>1402</v>
      </c>
      <c r="D275" t="s">
        <v>613</v>
      </c>
    </row>
    <row r="276" spans="1:4" x14ac:dyDescent="0.2">
      <c r="A276" s="1" t="s">
        <v>563</v>
      </c>
      <c r="B276" s="1" t="str">
        <f>+nodeInfo!A211</f>
        <v>1402</v>
      </c>
      <c r="C276" s="1" t="str">
        <f>+nodeInfo!A212</f>
        <v>1502</v>
      </c>
      <c r="D276" t="s">
        <v>613</v>
      </c>
    </row>
    <row r="277" spans="1:4" x14ac:dyDescent="0.2">
      <c r="A277" s="1" t="s">
        <v>564</v>
      </c>
      <c r="B277" s="1" t="str">
        <f>+nodeInfo!A212</f>
        <v>1502</v>
      </c>
      <c r="C277" s="1" t="str">
        <f>+nodeInfo!A213</f>
        <v>1602</v>
      </c>
      <c r="D277" t="s">
        <v>613</v>
      </c>
    </row>
    <row r="278" spans="1:4" x14ac:dyDescent="0.2">
      <c r="A278" s="1" t="s">
        <v>565</v>
      </c>
      <c r="B278" s="1" t="str">
        <f>+nodeInfo!A213</f>
        <v>1602</v>
      </c>
      <c r="C278" s="1" t="str">
        <f>+nodeInfo!A214</f>
        <v>1702</v>
      </c>
      <c r="D278" t="s">
        <v>613</v>
      </c>
    </row>
    <row r="279" spans="1:4" x14ac:dyDescent="0.2">
      <c r="A279" s="1" t="s">
        <v>566</v>
      </c>
      <c r="B279" s="1" t="str">
        <f>+nodeInfo!A214</f>
        <v>1702</v>
      </c>
      <c r="C279" s="1" t="str">
        <f>+nodeInfo!A215</f>
        <v>1802</v>
      </c>
      <c r="D279" t="s">
        <v>613</v>
      </c>
    </row>
    <row r="280" spans="1:4" x14ac:dyDescent="0.2">
      <c r="A280" s="1" t="s">
        <v>567</v>
      </c>
      <c r="B280" s="1" t="str">
        <f>+nodeInfo!A215</f>
        <v>1802</v>
      </c>
      <c r="C280" s="1" t="str">
        <f>+nodeInfo!A216</f>
        <v>1902</v>
      </c>
      <c r="D280" t="s">
        <v>613</v>
      </c>
    </row>
    <row r="281" spans="1:4" x14ac:dyDescent="0.2">
      <c r="A281" s="1" t="s">
        <v>568</v>
      </c>
      <c r="B281" s="1" t="str">
        <f>+nodeInfo!A216</f>
        <v>1902</v>
      </c>
      <c r="C281" s="1" t="str">
        <f>+nodeInfo!A217</f>
        <v>2002</v>
      </c>
      <c r="D281" t="s">
        <v>613</v>
      </c>
    </row>
    <row r="282" spans="1:4" x14ac:dyDescent="0.2">
      <c r="A282" s="1" t="s">
        <v>569</v>
      </c>
      <c r="B282" s="1" t="str">
        <f>+nodeInfo!A217</f>
        <v>2002</v>
      </c>
      <c r="C282" s="1" t="str">
        <f>+nodeInfo!A218</f>
        <v>2102</v>
      </c>
      <c r="D282" t="s">
        <v>613</v>
      </c>
    </row>
    <row r="283" spans="1:4" x14ac:dyDescent="0.2">
      <c r="A283" s="1" t="s">
        <v>570</v>
      </c>
      <c r="B283" s="1" t="str">
        <f>+nodeInfo!A218</f>
        <v>2102</v>
      </c>
      <c r="C283" s="1" t="str">
        <f>+nodeInfo!A219</f>
        <v>2202</v>
      </c>
      <c r="D283" t="s">
        <v>613</v>
      </c>
    </row>
    <row r="284" spans="1:4" x14ac:dyDescent="0.2">
      <c r="A284" s="1" t="s">
        <v>571</v>
      </c>
      <c r="B284" s="1" t="str">
        <f>+nodeInfo!A219</f>
        <v>2202</v>
      </c>
      <c r="C284" s="1" t="str">
        <f>+nodeInfo!A220</f>
        <v>2302</v>
      </c>
      <c r="D284" t="s">
        <v>613</v>
      </c>
    </row>
    <row r="285" spans="1:4" x14ac:dyDescent="0.2">
      <c r="A285" s="1" t="s">
        <v>572</v>
      </c>
      <c r="B285" s="1" t="str">
        <f>+nodeInfo!A220</f>
        <v>2302</v>
      </c>
      <c r="C285" s="1" t="str">
        <f>+nodeInfo!A221</f>
        <v>2402</v>
      </c>
      <c r="D285" t="s">
        <v>613</v>
      </c>
    </row>
    <row r="286" spans="1:4" x14ac:dyDescent="0.2">
      <c r="A286" s="1" t="s">
        <v>573</v>
      </c>
      <c r="B286" s="1" t="str">
        <f>+nodeInfo!A221</f>
        <v>2402</v>
      </c>
      <c r="C286" s="1" t="str">
        <f>+nodeInfo!A222</f>
        <v>2502</v>
      </c>
      <c r="D286" t="s">
        <v>613</v>
      </c>
    </row>
    <row r="287" spans="1:4" x14ac:dyDescent="0.2">
      <c r="A287" s="1" t="s">
        <v>574</v>
      </c>
      <c r="B287" s="1" t="str">
        <f>+nodeInfo!A222</f>
        <v>2502</v>
      </c>
      <c r="C287" s="1" t="str">
        <f>+nodeInfo!A223</f>
        <v>2602</v>
      </c>
      <c r="D287" t="s">
        <v>613</v>
      </c>
    </row>
    <row r="288" spans="1:4" x14ac:dyDescent="0.2">
      <c r="A288" s="1" t="s">
        <v>575</v>
      </c>
      <c r="B288" s="1" t="str">
        <f>+nodeInfo!A223</f>
        <v>2602</v>
      </c>
      <c r="C288" s="1" t="str">
        <f>+nodeInfo!A224</f>
        <v>2702</v>
      </c>
      <c r="D288" t="s">
        <v>613</v>
      </c>
    </row>
    <row r="289" spans="1:4" x14ac:dyDescent="0.2">
      <c r="A289" s="1" t="s">
        <v>576</v>
      </c>
      <c r="B289" s="1" t="str">
        <f>+nodeInfo!A224</f>
        <v>2702</v>
      </c>
      <c r="C289" s="1" t="str">
        <f>+nodeInfo!A225</f>
        <v>2802</v>
      </c>
      <c r="D289" t="s">
        <v>613</v>
      </c>
    </row>
    <row r="290" spans="1:4" x14ac:dyDescent="0.2">
      <c r="A290" s="1" t="s">
        <v>577</v>
      </c>
      <c r="B290" s="1" t="str">
        <f>+nodeInfo!A225</f>
        <v>2802</v>
      </c>
      <c r="C290" s="1" t="str">
        <f>+nodeInfo!A226</f>
        <v>2902</v>
      </c>
      <c r="D290" t="s">
        <v>613</v>
      </c>
    </row>
    <row r="291" spans="1:4" x14ac:dyDescent="0.2">
      <c r="A291" s="1" t="s">
        <v>578</v>
      </c>
      <c r="B291" s="1" t="str">
        <f>+nodeInfo!A226</f>
        <v>2902</v>
      </c>
      <c r="C291" s="1" t="str">
        <f>+nodeInfo!A227</f>
        <v>3002</v>
      </c>
      <c r="D291" t="s">
        <v>613</v>
      </c>
    </row>
    <row r="292" spans="1:4" x14ac:dyDescent="0.2">
      <c r="A292" s="1" t="s">
        <v>579</v>
      </c>
      <c r="B292" s="1" t="str">
        <f>+nodeInfo!A227</f>
        <v>3002</v>
      </c>
      <c r="C292" s="1" t="str">
        <f>+nodeInfo!A228</f>
        <v>3102</v>
      </c>
      <c r="D292" t="s">
        <v>613</v>
      </c>
    </row>
    <row r="293" spans="1:4" x14ac:dyDescent="0.2">
      <c r="A293" s="1" t="s">
        <v>580</v>
      </c>
      <c r="B293" s="1" t="str">
        <f>+nodeInfo!A228</f>
        <v>3102</v>
      </c>
      <c r="C293" s="1" t="str">
        <f>+nodeInfo!A229</f>
        <v>3202</v>
      </c>
      <c r="D293" t="s">
        <v>613</v>
      </c>
    </row>
    <row r="294" spans="1:4" x14ac:dyDescent="0.2">
      <c r="A294" s="1" t="s">
        <v>581</v>
      </c>
      <c r="B294" s="1" t="str">
        <f>+nodeInfo!A229</f>
        <v>3202</v>
      </c>
      <c r="C294" s="1" t="str">
        <f>+nodeInfo!A230</f>
        <v>3302</v>
      </c>
      <c r="D294" t="s">
        <v>613</v>
      </c>
    </row>
    <row r="295" spans="1:4" x14ac:dyDescent="0.2">
      <c r="A295" s="1" t="s">
        <v>582</v>
      </c>
      <c r="B295" s="1" t="str">
        <f>+nodeInfo!A230</f>
        <v>3302</v>
      </c>
      <c r="C295" s="1" t="str">
        <f>+nodeInfo!A231</f>
        <v>3402</v>
      </c>
      <c r="D295" t="s">
        <v>613</v>
      </c>
    </row>
    <row r="296" spans="1:4" x14ac:dyDescent="0.2">
      <c r="A296" s="1" t="s">
        <v>583</v>
      </c>
      <c r="B296" s="1" t="str">
        <f>+nodeInfo!A231</f>
        <v>3402</v>
      </c>
      <c r="C296" s="1" t="str">
        <f>+nodeInfo!A232</f>
        <v>3502</v>
      </c>
      <c r="D296" t="s">
        <v>613</v>
      </c>
    </row>
    <row r="297" spans="1:4" x14ac:dyDescent="0.2">
      <c r="A297" s="1" t="s">
        <v>584</v>
      </c>
      <c r="B297" s="1" t="str">
        <f>+nodeInfo!A232</f>
        <v>3502</v>
      </c>
      <c r="C297" s="1" t="str">
        <f>+nodeInfo!A233</f>
        <v>3602</v>
      </c>
      <c r="D297" t="s">
        <v>613</v>
      </c>
    </row>
    <row r="298" spans="1:4" x14ac:dyDescent="0.2">
      <c r="A298" s="1" t="s">
        <v>585</v>
      </c>
      <c r="B298" s="1" t="str">
        <f>+nodeInfo!A233</f>
        <v>3602</v>
      </c>
      <c r="C298" s="1" t="str">
        <f>+nodeInfo!A234</f>
        <v>3702</v>
      </c>
      <c r="D298" t="s">
        <v>613</v>
      </c>
    </row>
    <row r="299" spans="1:4" x14ac:dyDescent="0.2">
      <c r="A299" s="1" t="s">
        <v>586</v>
      </c>
      <c r="B299" s="1" t="str">
        <f>+nodeInfo!A234</f>
        <v>3702</v>
      </c>
      <c r="C299" s="1" t="str">
        <f>+nodeInfo!A235</f>
        <v>3802</v>
      </c>
      <c r="D299" t="s">
        <v>613</v>
      </c>
    </row>
    <row r="300" spans="1:4" x14ac:dyDescent="0.2">
      <c r="A300" s="1" t="s">
        <v>587</v>
      </c>
      <c r="B300" s="1" t="str">
        <f>+nodeInfo!A235</f>
        <v>3802</v>
      </c>
      <c r="C300" s="1" t="str">
        <f>+nodeInfo!A236</f>
        <v>3902</v>
      </c>
      <c r="D300" t="s">
        <v>613</v>
      </c>
    </row>
    <row r="301" spans="1:4" x14ac:dyDescent="0.2">
      <c r="A301" s="1" t="s">
        <v>588</v>
      </c>
      <c r="B301" s="1" t="str">
        <f>+nodeInfo!A236</f>
        <v>3902</v>
      </c>
      <c r="C301" s="1" t="str">
        <f>+nodeInfo!A237</f>
        <v>4002</v>
      </c>
      <c r="D301" t="s">
        <v>613</v>
      </c>
    </row>
    <row r="302" spans="1:4" x14ac:dyDescent="0.2">
      <c r="A302" s="1" t="s">
        <v>589</v>
      </c>
      <c r="B302" s="1" t="str">
        <f>+nodeInfo!A237</f>
        <v>4002</v>
      </c>
      <c r="C302" s="1" t="str">
        <f>+nodeInfo!A238</f>
        <v>4102</v>
      </c>
      <c r="D302" t="s">
        <v>613</v>
      </c>
    </row>
    <row r="303" spans="1:4" x14ac:dyDescent="0.2">
      <c r="A303" s="1" t="s">
        <v>590</v>
      </c>
      <c r="B303" s="1" t="str">
        <f>+nodeInfo!A238</f>
        <v>4102</v>
      </c>
      <c r="C303" s="1" t="str">
        <f>+nodeInfo!A239</f>
        <v>4202</v>
      </c>
      <c r="D303" t="s">
        <v>613</v>
      </c>
    </row>
    <row r="304" spans="1:4" x14ac:dyDescent="0.2">
      <c r="A304" s="1" t="s">
        <v>591</v>
      </c>
      <c r="B304" s="1" t="str">
        <f>+nodeInfo!A239</f>
        <v>4202</v>
      </c>
      <c r="C304" s="1" t="str">
        <f>+nodeInfo!A240</f>
        <v>4302</v>
      </c>
      <c r="D304" t="s">
        <v>613</v>
      </c>
    </row>
    <row r="305" spans="1:4" x14ac:dyDescent="0.2">
      <c r="A305" s="1" t="s">
        <v>592</v>
      </c>
      <c r="B305" s="1" t="str">
        <f>+nodeInfo!A240</f>
        <v>4302</v>
      </c>
      <c r="C305" s="1" t="str">
        <f>+nodeInfo!A241</f>
        <v>4402</v>
      </c>
      <c r="D305" t="s">
        <v>613</v>
      </c>
    </row>
    <row r="306" spans="1:4" x14ac:dyDescent="0.2">
      <c r="A306" s="1" t="s">
        <v>593</v>
      </c>
      <c r="B306" s="1" t="str">
        <f>+nodeInfo!A241</f>
        <v>4402</v>
      </c>
      <c r="C306" s="1" t="str">
        <f>+nodeInfo!A242</f>
        <v>4502</v>
      </c>
      <c r="D306" t="s">
        <v>613</v>
      </c>
    </row>
    <row r="307" spans="1:4" x14ac:dyDescent="0.2">
      <c r="A307" s="1" t="s">
        <v>594</v>
      </c>
      <c r="B307" s="1" t="str">
        <f>+nodeInfo!A242</f>
        <v>4502</v>
      </c>
      <c r="C307" s="1" t="str">
        <f>+nodeInfo!A243</f>
        <v>4602</v>
      </c>
      <c r="D307" t="s">
        <v>613</v>
      </c>
    </row>
    <row r="308" spans="1:4" x14ac:dyDescent="0.2">
      <c r="A308" s="1" t="s">
        <v>595</v>
      </c>
      <c r="B308" s="1" t="str">
        <f>+nodeInfo!A243</f>
        <v>4602</v>
      </c>
      <c r="C308" s="1" t="str">
        <f>+nodeInfo!A244</f>
        <v>4702</v>
      </c>
      <c r="D308" t="s">
        <v>613</v>
      </c>
    </row>
    <row r="309" spans="1:4" x14ac:dyDescent="0.2">
      <c r="A309" s="1" t="s">
        <v>596</v>
      </c>
      <c r="B309" s="1" t="str">
        <f>+nodeInfo!A244</f>
        <v>4702</v>
      </c>
      <c r="C309" s="1" t="str">
        <f>+nodeInfo!A245</f>
        <v>4802</v>
      </c>
      <c r="D309" t="s">
        <v>613</v>
      </c>
    </row>
    <row r="310" spans="1:4" x14ac:dyDescent="0.2">
      <c r="A310" s="1" t="s">
        <v>597</v>
      </c>
      <c r="B310" s="1" t="str">
        <f>+nodeInfo!A245</f>
        <v>4802</v>
      </c>
      <c r="C310" s="1" t="str">
        <f>+nodeInfo!A246</f>
        <v>4902</v>
      </c>
      <c r="D310" t="s">
        <v>613</v>
      </c>
    </row>
    <row r="311" spans="1:4" x14ac:dyDescent="0.2">
      <c r="A311" s="1" t="s">
        <v>598</v>
      </c>
      <c r="B311" s="1" t="str">
        <f>+nodeInfo!A246</f>
        <v>4902</v>
      </c>
      <c r="C311" s="1" t="str">
        <f>+nodeInfo!A247</f>
        <v>5002</v>
      </c>
      <c r="D311" t="s">
        <v>613</v>
      </c>
    </row>
    <row r="312" spans="1:4" x14ac:dyDescent="0.2">
      <c r="A312" s="1" t="s">
        <v>599</v>
      </c>
      <c r="B312" s="1" t="str">
        <f>+nodeInfo!A247</f>
        <v>5002</v>
      </c>
      <c r="C312" s="1" t="str">
        <f>+nodeInfo!A248</f>
        <v>5102</v>
      </c>
      <c r="D312" t="s">
        <v>613</v>
      </c>
    </row>
    <row r="313" spans="1:4" x14ac:dyDescent="0.2">
      <c r="A313" s="1" t="s">
        <v>600</v>
      </c>
      <c r="B313" s="1" t="str">
        <f>+nodeInfo!A248</f>
        <v>5102</v>
      </c>
      <c r="C313" s="1" t="str">
        <f>+nodeInfo!A249</f>
        <v>5202</v>
      </c>
      <c r="D313" t="s">
        <v>613</v>
      </c>
    </row>
    <row r="314" spans="1:4" x14ac:dyDescent="0.2">
      <c r="A314" s="1" t="s">
        <v>601</v>
      </c>
      <c r="B314" s="1" t="str">
        <f>+nodeInfo!A249</f>
        <v>5202</v>
      </c>
      <c r="C314" s="1" t="str">
        <f>+nodeInfo!A250</f>
        <v>5302</v>
      </c>
      <c r="D314" t="s">
        <v>613</v>
      </c>
    </row>
    <row r="315" spans="1:4" x14ac:dyDescent="0.2">
      <c r="A315" s="1" t="s">
        <v>602</v>
      </c>
      <c r="B315" s="1" t="str">
        <f>+nodeInfo!A250</f>
        <v>5302</v>
      </c>
      <c r="C315" s="1" t="str">
        <f>+nodeInfo!A251</f>
        <v>5402</v>
      </c>
      <c r="D315" t="s">
        <v>613</v>
      </c>
    </row>
    <row r="316" spans="1:4" x14ac:dyDescent="0.2">
      <c r="A316" s="1" t="s">
        <v>603</v>
      </c>
      <c r="B316" s="1" t="str">
        <f>+nodeInfo!A251</f>
        <v>5402</v>
      </c>
      <c r="C316" s="1" t="str">
        <f>+nodeInfo!A252</f>
        <v>5502</v>
      </c>
      <c r="D316" t="s">
        <v>613</v>
      </c>
    </row>
    <row r="317" spans="1:4" x14ac:dyDescent="0.2">
      <c r="A317" s="1" t="s">
        <v>604</v>
      </c>
      <c r="B317" s="1" t="str">
        <f>+nodeInfo!A252</f>
        <v>5502</v>
      </c>
      <c r="C317" s="1" t="str">
        <f>+nodeInfo!A253</f>
        <v>5602</v>
      </c>
      <c r="D317" t="s">
        <v>613</v>
      </c>
    </row>
    <row r="318" spans="1:4" x14ac:dyDescent="0.2">
      <c r="A318" s="1" t="s">
        <v>605</v>
      </c>
      <c r="B318" s="1" t="str">
        <f>+nodeInfo!A253</f>
        <v>5602</v>
      </c>
      <c r="C318" s="1" t="str">
        <f>+nodeInfo!A254</f>
        <v>5702</v>
      </c>
      <c r="D318" t="s">
        <v>613</v>
      </c>
    </row>
    <row r="319" spans="1:4" x14ac:dyDescent="0.2">
      <c r="A319" s="1" t="s">
        <v>606</v>
      </c>
      <c r="B319" s="1" t="str">
        <f>+nodeInfo!A254</f>
        <v>5702</v>
      </c>
      <c r="C319" s="1" t="str">
        <f>+nodeInfo!A255</f>
        <v>5802</v>
      </c>
      <c r="D319" t="s">
        <v>613</v>
      </c>
    </row>
    <row r="320" spans="1:4" x14ac:dyDescent="0.2">
      <c r="A320" s="1" t="s">
        <v>607</v>
      </c>
      <c r="B320" s="1" t="str">
        <f>+nodeInfo!A255</f>
        <v>5802</v>
      </c>
      <c r="C320" s="1" t="str">
        <f>+nodeInfo!A256</f>
        <v>5902</v>
      </c>
      <c r="D320" t="s">
        <v>613</v>
      </c>
    </row>
    <row r="321" spans="1:4" x14ac:dyDescent="0.2">
      <c r="A321" s="1" t="s">
        <v>608</v>
      </c>
      <c r="B321" s="1" t="str">
        <f>+nodeInfo!A256</f>
        <v>5902</v>
      </c>
      <c r="C321" s="1" t="str">
        <f>+nodeInfo!A257</f>
        <v>6002</v>
      </c>
      <c r="D321" t="s">
        <v>613</v>
      </c>
    </row>
    <row r="322" spans="1:4" x14ac:dyDescent="0.2">
      <c r="A322" s="1" t="s">
        <v>609</v>
      </c>
      <c r="B322" s="1" t="str">
        <f>+nodeInfo!A257</f>
        <v>6002</v>
      </c>
      <c r="C322" s="1" t="str">
        <f>+nodeInfo!A258</f>
        <v>6102</v>
      </c>
      <c r="D322" t="s">
        <v>613</v>
      </c>
    </row>
    <row r="323" spans="1:4" x14ac:dyDescent="0.2">
      <c r="A323" s="1" t="s">
        <v>610</v>
      </c>
      <c r="B323" s="1" t="str">
        <f>+nodeInfo!A258</f>
        <v>6102</v>
      </c>
      <c r="C323" s="1" t="str">
        <f>+nodeInfo!A259</f>
        <v>6202</v>
      </c>
      <c r="D323" t="s">
        <v>613</v>
      </c>
    </row>
    <row r="324" spans="1:4" x14ac:dyDescent="0.2">
      <c r="A324" s="1" t="s">
        <v>611</v>
      </c>
      <c r="B324" s="1" t="str">
        <f>+nodeInfo!A259</f>
        <v>6202</v>
      </c>
      <c r="C324" s="1" t="str">
        <f>+nodeInfo!A260</f>
        <v>6302</v>
      </c>
      <c r="D324" t="s">
        <v>613</v>
      </c>
    </row>
    <row r="325" spans="1:4" x14ac:dyDescent="0.2">
      <c r="A325" s="1" t="s">
        <v>612</v>
      </c>
      <c r="B325" s="1" t="str">
        <f>+nodeInfo!A260</f>
        <v>6302</v>
      </c>
      <c r="C325" s="1" t="str">
        <f>+nodeInfo!A261</f>
        <v>6402</v>
      </c>
      <c r="D325" t="s">
        <v>613</v>
      </c>
    </row>
    <row r="326" spans="1:4" x14ac:dyDescent="0.2">
      <c r="A326" s="1" t="s">
        <v>614</v>
      </c>
      <c r="B326" s="1" t="str">
        <f>+nodeInfo!A262</f>
        <v>0022</v>
      </c>
      <c r="C326" s="1" t="str">
        <f>+nodeInfo!A263</f>
        <v>0122</v>
      </c>
      <c r="D326" t="s">
        <v>678</v>
      </c>
    </row>
    <row r="327" spans="1:4" x14ac:dyDescent="0.2">
      <c r="A327" s="1" t="s">
        <v>615</v>
      </c>
      <c r="B327" s="1" t="str">
        <f>+nodeInfo!A263</f>
        <v>0122</v>
      </c>
      <c r="C327" s="1" t="str">
        <f>+nodeInfo!A264</f>
        <v>0222</v>
      </c>
      <c r="D327" t="s">
        <v>678</v>
      </c>
    </row>
    <row r="328" spans="1:4" x14ac:dyDescent="0.2">
      <c r="A328" s="1" t="s">
        <v>616</v>
      </c>
      <c r="B328" s="1" t="str">
        <f>+nodeInfo!A264</f>
        <v>0222</v>
      </c>
      <c r="C328" s="1" t="str">
        <f>+nodeInfo!A265</f>
        <v>0322</v>
      </c>
      <c r="D328" t="s">
        <v>678</v>
      </c>
    </row>
    <row r="329" spans="1:4" x14ac:dyDescent="0.2">
      <c r="A329" s="1" t="s">
        <v>617</v>
      </c>
      <c r="B329" s="1" t="str">
        <f>+nodeInfo!A265</f>
        <v>0322</v>
      </c>
      <c r="C329" s="1" t="str">
        <f>+nodeInfo!A266</f>
        <v>0422</v>
      </c>
      <c r="D329" t="s">
        <v>678</v>
      </c>
    </row>
    <row r="330" spans="1:4" x14ac:dyDescent="0.2">
      <c r="A330" s="1" t="s">
        <v>618</v>
      </c>
      <c r="B330" s="1" t="str">
        <f>+nodeInfo!A266</f>
        <v>0422</v>
      </c>
      <c r="C330" s="1" t="str">
        <f>+nodeInfo!A267</f>
        <v>0522</v>
      </c>
      <c r="D330" t="s">
        <v>678</v>
      </c>
    </row>
    <row r="331" spans="1:4" x14ac:dyDescent="0.2">
      <c r="A331" s="1" t="s">
        <v>619</v>
      </c>
      <c r="B331" s="1" t="str">
        <f>+nodeInfo!A267</f>
        <v>0522</v>
      </c>
      <c r="C331" s="1" t="str">
        <f>+nodeInfo!A268</f>
        <v>0622</v>
      </c>
      <c r="D331" t="s">
        <v>678</v>
      </c>
    </row>
    <row r="332" spans="1:4" x14ac:dyDescent="0.2">
      <c r="A332" s="1" t="s">
        <v>620</v>
      </c>
      <c r="B332" s="1" t="str">
        <f>+nodeInfo!A268</f>
        <v>0622</v>
      </c>
      <c r="C332" s="1" t="str">
        <f>+nodeInfo!A269</f>
        <v>0722</v>
      </c>
      <c r="D332" t="s">
        <v>678</v>
      </c>
    </row>
    <row r="333" spans="1:4" x14ac:dyDescent="0.2">
      <c r="A333" s="1" t="s">
        <v>621</v>
      </c>
      <c r="B333" s="1" t="str">
        <f>+nodeInfo!A269</f>
        <v>0722</v>
      </c>
      <c r="C333" s="1" t="str">
        <f>+nodeInfo!A270</f>
        <v>0822</v>
      </c>
      <c r="D333" t="s">
        <v>678</v>
      </c>
    </row>
    <row r="334" spans="1:4" x14ac:dyDescent="0.2">
      <c r="A334" s="1" t="s">
        <v>622</v>
      </c>
      <c r="B334" s="1" t="str">
        <f>+nodeInfo!A270</f>
        <v>0822</v>
      </c>
      <c r="C334" s="1" t="str">
        <f>+nodeInfo!A271</f>
        <v>0922</v>
      </c>
      <c r="D334" t="s">
        <v>678</v>
      </c>
    </row>
    <row r="335" spans="1:4" x14ac:dyDescent="0.2">
      <c r="A335" s="1" t="s">
        <v>623</v>
      </c>
      <c r="B335" s="1" t="str">
        <f>+nodeInfo!A271</f>
        <v>0922</v>
      </c>
      <c r="C335" s="1" t="str">
        <f>+nodeInfo!A272</f>
        <v>1022</v>
      </c>
      <c r="D335" t="s">
        <v>678</v>
      </c>
    </row>
    <row r="336" spans="1:4" x14ac:dyDescent="0.2">
      <c r="A336" s="1" t="s">
        <v>624</v>
      </c>
      <c r="B336" s="1" t="str">
        <f>+nodeInfo!A272</f>
        <v>1022</v>
      </c>
      <c r="C336" s="1" t="str">
        <f>+nodeInfo!A273</f>
        <v>1122</v>
      </c>
      <c r="D336" t="s">
        <v>678</v>
      </c>
    </row>
    <row r="337" spans="1:4" x14ac:dyDescent="0.2">
      <c r="A337" s="1" t="s">
        <v>625</v>
      </c>
      <c r="B337" s="1" t="str">
        <f>+nodeInfo!A273</f>
        <v>1122</v>
      </c>
      <c r="C337" s="1" t="str">
        <f>+nodeInfo!A274</f>
        <v>1222</v>
      </c>
      <c r="D337" t="s">
        <v>678</v>
      </c>
    </row>
    <row r="338" spans="1:4" x14ac:dyDescent="0.2">
      <c r="A338" s="1" t="s">
        <v>626</v>
      </c>
      <c r="B338" s="1" t="str">
        <f>+nodeInfo!A274</f>
        <v>1222</v>
      </c>
      <c r="C338" s="1" t="str">
        <f>+nodeInfo!A275</f>
        <v>1322</v>
      </c>
      <c r="D338" t="s">
        <v>678</v>
      </c>
    </row>
    <row r="339" spans="1:4" x14ac:dyDescent="0.2">
      <c r="A339" s="1" t="s">
        <v>627</v>
      </c>
      <c r="B339" s="1" t="str">
        <f>+nodeInfo!A275</f>
        <v>1322</v>
      </c>
      <c r="C339" s="1" t="str">
        <f>+nodeInfo!A276</f>
        <v>1422</v>
      </c>
      <c r="D339" t="s">
        <v>678</v>
      </c>
    </row>
    <row r="340" spans="1:4" x14ac:dyDescent="0.2">
      <c r="A340" s="1" t="s">
        <v>628</v>
      </c>
      <c r="B340" s="1" t="str">
        <f>+nodeInfo!A276</f>
        <v>1422</v>
      </c>
      <c r="C340" s="1" t="str">
        <f>+nodeInfo!A277</f>
        <v>1522</v>
      </c>
      <c r="D340" t="s">
        <v>678</v>
      </c>
    </row>
    <row r="341" spans="1:4" x14ac:dyDescent="0.2">
      <c r="A341" s="1" t="s">
        <v>629</v>
      </c>
      <c r="B341" s="1" t="str">
        <f>+nodeInfo!A277</f>
        <v>1522</v>
      </c>
      <c r="C341" s="1" t="str">
        <f>+nodeInfo!A278</f>
        <v>1622</v>
      </c>
      <c r="D341" t="s">
        <v>678</v>
      </c>
    </row>
    <row r="342" spans="1:4" x14ac:dyDescent="0.2">
      <c r="A342" s="1" t="s">
        <v>630</v>
      </c>
      <c r="B342" s="1" t="str">
        <f>+nodeInfo!A278</f>
        <v>1622</v>
      </c>
      <c r="C342" s="1" t="str">
        <f>+nodeInfo!A279</f>
        <v>1722</v>
      </c>
      <c r="D342" t="s">
        <v>678</v>
      </c>
    </row>
    <row r="343" spans="1:4" x14ac:dyDescent="0.2">
      <c r="A343" s="1" t="s">
        <v>631</v>
      </c>
      <c r="B343" s="1" t="str">
        <f>+nodeInfo!A279</f>
        <v>1722</v>
      </c>
      <c r="C343" s="1" t="str">
        <f>+nodeInfo!A280</f>
        <v>1822</v>
      </c>
      <c r="D343" t="s">
        <v>678</v>
      </c>
    </row>
    <row r="344" spans="1:4" x14ac:dyDescent="0.2">
      <c r="A344" s="1" t="s">
        <v>632</v>
      </c>
      <c r="B344" s="1" t="str">
        <f>+nodeInfo!A280</f>
        <v>1822</v>
      </c>
      <c r="C344" s="1" t="str">
        <f>+nodeInfo!A281</f>
        <v>1922</v>
      </c>
      <c r="D344" t="s">
        <v>678</v>
      </c>
    </row>
    <row r="345" spans="1:4" x14ac:dyDescent="0.2">
      <c r="A345" s="1" t="s">
        <v>633</v>
      </c>
      <c r="B345" s="1" t="str">
        <f>+nodeInfo!A281</f>
        <v>1922</v>
      </c>
      <c r="C345" s="1" t="str">
        <f>+nodeInfo!A282</f>
        <v>2022</v>
      </c>
      <c r="D345" t="s">
        <v>678</v>
      </c>
    </row>
    <row r="346" spans="1:4" x14ac:dyDescent="0.2">
      <c r="A346" s="1" t="s">
        <v>634</v>
      </c>
      <c r="B346" s="1" t="str">
        <f>+nodeInfo!A282</f>
        <v>2022</v>
      </c>
      <c r="C346" s="1" t="str">
        <f>+nodeInfo!A283</f>
        <v>2122</v>
      </c>
      <c r="D346" t="s">
        <v>678</v>
      </c>
    </row>
    <row r="347" spans="1:4" x14ac:dyDescent="0.2">
      <c r="A347" s="1" t="s">
        <v>635</v>
      </c>
      <c r="B347" s="1" t="str">
        <f>+nodeInfo!A283</f>
        <v>2122</v>
      </c>
      <c r="C347" s="1" t="str">
        <f>+nodeInfo!A284</f>
        <v>2222</v>
      </c>
      <c r="D347" t="s">
        <v>678</v>
      </c>
    </row>
    <row r="348" spans="1:4" x14ac:dyDescent="0.2">
      <c r="A348" s="1" t="s">
        <v>636</v>
      </c>
      <c r="B348" s="1" t="str">
        <f>+nodeInfo!A284</f>
        <v>2222</v>
      </c>
      <c r="C348" s="1" t="str">
        <f>+nodeInfo!A285</f>
        <v>2322</v>
      </c>
      <c r="D348" t="s">
        <v>678</v>
      </c>
    </row>
    <row r="349" spans="1:4" x14ac:dyDescent="0.2">
      <c r="A349" s="1" t="s">
        <v>637</v>
      </c>
      <c r="B349" s="1" t="str">
        <f>+nodeInfo!A285</f>
        <v>2322</v>
      </c>
      <c r="C349" s="1" t="str">
        <f>+nodeInfo!A286</f>
        <v>2422</v>
      </c>
      <c r="D349" t="s">
        <v>678</v>
      </c>
    </row>
    <row r="350" spans="1:4" x14ac:dyDescent="0.2">
      <c r="A350" s="1" t="s">
        <v>638</v>
      </c>
      <c r="B350" s="1" t="str">
        <f>+nodeInfo!A286</f>
        <v>2422</v>
      </c>
      <c r="C350" s="1" t="str">
        <f>+nodeInfo!A287</f>
        <v>2522</v>
      </c>
      <c r="D350" t="s">
        <v>678</v>
      </c>
    </row>
    <row r="351" spans="1:4" x14ac:dyDescent="0.2">
      <c r="A351" s="1" t="s">
        <v>639</v>
      </c>
      <c r="B351" s="1" t="str">
        <f>+nodeInfo!A287</f>
        <v>2522</v>
      </c>
      <c r="C351" s="1" t="str">
        <f>+nodeInfo!A288</f>
        <v>2622</v>
      </c>
      <c r="D351" t="s">
        <v>678</v>
      </c>
    </row>
    <row r="352" spans="1:4" x14ac:dyDescent="0.2">
      <c r="A352" s="1" t="s">
        <v>640</v>
      </c>
      <c r="B352" s="1" t="str">
        <f>+nodeInfo!A288</f>
        <v>2622</v>
      </c>
      <c r="C352" s="1" t="str">
        <f>+nodeInfo!A289</f>
        <v>2722</v>
      </c>
      <c r="D352" t="s">
        <v>678</v>
      </c>
    </row>
    <row r="353" spans="1:4" x14ac:dyDescent="0.2">
      <c r="A353" s="1" t="s">
        <v>641</v>
      </c>
      <c r="B353" s="1" t="str">
        <f>+nodeInfo!A289</f>
        <v>2722</v>
      </c>
      <c r="C353" s="1" t="str">
        <f>+nodeInfo!A290</f>
        <v>2822</v>
      </c>
      <c r="D353" t="s">
        <v>678</v>
      </c>
    </row>
    <row r="354" spans="1:4" x14ac:dyDescent="0.2">
      <c r="A354" s="1" t="s">
        <v>642</v>
      </c>
      <c r="B354" s="1" t="str">
        <f>+nodeInfo!A290</f>
        <v>2822</v>
      </c>
      <c r="C354" s="1" t="str">
        <f>+nodeInfo!A291</f>
        <v>2922</v>
      </c>
      <c r="D354" t="s">
        <v>678</v>
      </c>
    </row>
    <row r="355" spans="1:4" x14ac:dyDescent="0.2">
      <c r="A355" s="1" t="s">
        <v>643</v>
      </c>
      <c r="B355" s="1" t="str">
        <f>+nodeInfo!A291</f>
        <v>2922</v>
      </c>
      <c r="C355" s="1" t="str">
        <f>+nodeInfo!A292</f>
        <v>3022</v>
      </c>
      <c r="D355" t="s">
        <v>678</v>
      </c>
    </row>
    <row r="356" spans="1:4" x14ac:dyDescent="0.2">
      <c r="A356" s="1" t="s">
        <v>644</v>
      </c>
      <c r="B356" s="1" t="str">
        <f>+nodeInfo!A292</f>
        <v>3022</v>
      </c>
      <c r="C356" s="1" t="str">
        <f>+nodeInfo!A293</f>
        <v>3122</v>
      </c>
      <c r="D356" t="s">
        <v>678</v>
      </c>
    </row>
    <row r="357" spans="1:4" x14ac:dyDescent="0.2">
      <c r="A357" s="1" t="s">
        <v>645</v>
      </c>
      <c r="B357" s="1" t="str">
        <f>+nodeInfo!A293</f>
        <v>3122</v>
      </c>
      <c r="C357" s="1" t="str">
        <f>+nodeInfo!A294</f>
        <v>3222</v>
      </c>
      <c r="D357" t="s">
        <v>678</v>
      </c>
    </row>
    <row r="358" spans="1:4" x14ac:dyDescent="0.2">
      <c r="A358" s="1" t="s">
        <v>646</v>
      </c>
      <c r="B358" s="1" t="str">
        <f>+nodeInfo!A294</f>
        <v>3222</v>
      </c>
      <c r="C358" s="1" t="str">
        <f>+nodeInfo!A295</f>
        <v>3322</v>
      </c>
      <c r="D358" t="s">
        <v>678</v>
      </c>
    </row>
    <row r="359" spans="1:4" x14ac:dyDescent="0.2">
      <c r="A359" s="1" t="s">
        <v>647</v>
      </c>
      <c r="B359" s="1" t="str">
        <f>+nodeInfo!A295</f>
        <v>3322</v>
      </c>
      <c r="C359" s="1" t="str">
        <f>+nodeInfo!A296</f>
        <v>3422</v>
      </c>
      <c r="D359" t="s">
        <v>678</v>
      </c>
    </row>
    <row r="360" spans="1:4" x14ac:dyDescent="0.2">
      <c r="A360" s="1" t="s">
        <v>648</v>
      </c>
      <c r="B360" s="1" t="str">
        <f>+nodeInfo!A296</f>
        <v>3422</v>
      </c>
      <c r="C360" s="1" t="str">
        <f>+nodeInfo!A297</f>
        <v>3522</v>
      </c>
      <c r="D360" t="s">
        <v>678</v>
      </c>
    </row>
    <row r="361" spans="1:4" x14ac:dyDescent="0.2">
      <c r="A361" s="1" t="s">
        <v>649</v>
      </c>
      <c r="B361" s="1" t="str">
        <f>+nodeInfo!A297</f>
        <v>3522</v>
      </c>
      <c r="C361" s="1" t="str">
        <f>+nodeInfo!A298</f>
        <v>3622</v>
      </c>
      <c r="D361" t="s">
        <v>678</v>
      </c>
    </row>
    <row r="362" spans="1:4" x14ac:dyDescent="0.2">
      <c r="A362" s="1" t="s">
        <v>650</v>
      </c>
      <c r="B362" s="1" t="str">
        <f>+nodeInfo!A298</f>
        <v>3622</v>
      </c>
      <c r="C362" s="1" t="str">
        <f>+nodeInfo!A299</f>
        <v>3722</v>
      </c>
      <c r="D362" t="s">
        <v>678</v>
      </c>
    </row>
    <row r="363" spans="1:4" x14ac:dyDescent="0.2">
      <c r="A363" s="1" t="s">
        <v>651</v>
      </c>
      <c r="B363" s="1" t="str">
        <f>+nodeInfo!A299</f>
        <v>3722</v>
      </c>
      <c r="C363" s="1" t="str">
        <f>+nodeInfo!A300</f>
        <v>3822</v>
      </c>
      <c r="D363" t="s">
        <v>678</v>
      </c>
    </row>
    <row r="364" spans="1:4" x14ac:dyDescent="0.2">
      <c r="A364" s="1" t="s">
        <v>652</v>
      </c>
      <c r="B364" s="1" t="str">
        <f>+nodeInfo!A300</f>
        <v>3822</v>
      </c>
      <c r="C364" s="1" t="str">
        <f>+nodeInfo!A301</f>
        <v>3922</v>
      </c>
      <c r="D364" t="s">
        <v>678</v>
      </c>
    </row>
    <row r="365" spans="1:4" x14ac:dyDescent="0.2">
      <c r="A365" s="1" t="s">
        <v>653</v>
      </c>
      <c r="B365" s="1" t="str">
        <f>+nodeInfo!A301</f>
        <v>3922</v>
      </c>
      <c r="C365" s="1" t="str">
        <f>+nodeInfo!A302</f>
        <v>4022</v>
      </c>
      <c r="D365" t="s">
        <v>678</v>
      </c>
    </row>
    <row r="366" spans="1:4" x14ac:dyDescent="0.2">
      <c r="A366" s="1" t="s">
        <v>654</v>
      </c>
      <c r="B366" s="1" t="str">
        <f>+nodeInfo!A302</f>
        <v>4022</v>
      </c>
      <c r="C366" s="1" t="str">
        <f>+nodeInfo!A303</f>
        <v>4122</v>
      </c>
      <c r="D366" t="s">
        <v>678</v>
      </c>
    </row>
    <row r="367" spans="1:4" x14ac:dyDescent="0.2">
      <c r="A367" s="1" t="s">
        <v>655</v>
      </c>
      <c r="B367" s="1" t="str">
        <f>+nodeInfo!A303</f>
        <v>4122</v>
      </c>
      <c r="C367" s="1" t="str">
        <f>+nodeInfo!A304</f>
        <v>4222</v>
      </c>
      <c r="D367" t="s">
        <v>678</v>
      </c>
    </row>
    <row r="368" spans="1:4" x14ac:dyDescent="0.2">
      <c r="A368" s="1" t="s">
        <v>656</v>
      </c>
      <c r="B368" s="1" t="str">
        <f>+nodeInfo!A304</f>
        <v>4222</v>
      </c>
      <c r="C368" s="1" t="str">
        <f>+nodeInfo!A305</f>
        <v>4322</v>
      </c>
      <c r="D368" t="s">
        <v>678</v>
      </c>
    </row>
    <row r="369" spans="1:4" x14ac:dyDescent="0.2">
      <c r="A369" s="1" t="s">
        <v>657</v>
      </c>
      <c r="B369" s="1" t="str">
        <f>+nodeInfo!A305</f>
        <v>4322</v>
      </c>
      <c r="C369" s="1" t="str">
        <f>+nodeInfo!A306</f>
        <v>4422</v>
      </c>
      <c r="D369" t="s">
        <v>678</v>
      </c>
    </row>
    <row r="370" spans="1:4" x14ac:dyDescent="0.2">
      <c r="A370" s="1" t="s">
        <v>658</v>
      </c>
      <c r="B370" s="1" t="str">
        <f>+nodeInfo!A306</f>
        <v>4422</v>
      </c>
      <c r="C370" s="1" t="str">
        <f>+nodeInfo!A307</f>
        <v>4522</v>
      </c>
      <c r="D370" t="s">
        <v>678</v>
      </c>
    </row>
    <row r="371" spans="1:4" x14ac:dyDescent="0.2">
      <c r="A371" s="1" t="s">
        <v>659</v>
      </c>
      <c r="B371" s="1" t="str">
        <f>+nodeInfo!A307</f>
        <v>4522</v>
      </c>
      <c r="C371" s="1" t="str">
        <f>+nodeInfo!A308</f>
        <v>4622</v>
      </c>
      <c r="D371" t="s">
        <v>678</v>
      </c>
    </row>
    <row r="372" spans="1:4" x14ac:dyDescent="0.2">
      <c r="A372" s="1" t="s">
        <v>660</v>
      </c>
      <c r="B372" s="1" t="str">
        <f>+nodeInfo!A308</f>
        <v>4622</v>
      </c>
      <c r="C372" s="1" t="str">
        <f>+nodeInfo!A309</f>
        <v>4722</v>
      </c>
      <c r="D372" t="s">
        <v>678</v>
      </c>
    </row>
    <row r="373" spans="1:4" x14ac:dyDescent="0.2">
      <c r="A373" s="1" t="s">
        <v>661</v>
      </c>
      <c r="B373" s="1" t="str">
        <f>+nodeInfo!A309</f>
        <v>4722</v>
      </c>
      <c r="C373" s="1" t="str">
        <f>+nodeInfo!A310</f>
        <v>4822</v>
      </c>
      <c r="D373" t="s">
        <v>678</v>
      </c>
    </row>
    <row r="374" spans="1:4" x14ac:dyDescent="0.2">
      <c r="A374" s="1" t="s">
        <v>662</v>
      </c>
      <c r="B374" s="1" t="str">
        <f>+nodeInfo!A310</f>
        <v>4822</v>
      </c>
      <c r="C374" s="1" t="str">
        <f>+nodeInfo!A311</f>
        <v>4922</v>
      </c>
      <c r="D374" t="s">
        <v>678</v>
      </c>
    </row>
    <row r="375" spans="1:4" x14ac:dyDescent="0.2">
      <c r="A375" s="1" t="s">
        <v>663</v>
      </c>
      <c r="B375" s="1" t="str">
        <f>+nodeInfo!A311</f>
        <v>4922</v>
      </c>
      <c r="C375" s="1" t="str">
        <f>+nodeInfo!A312</f>
        <v>5022</v>
      </c>
      <c r="D375" t="s">
        <v>678</v>
      </c>
    </row>
    <row r="376" spans="1:4" x14ac:dyDescent="0.2">
      <c r="A376" s="1" t="s">
        <v>664</v>
      </c>
      <c r="B376" s="1" t="str">
        <f>+nodeInfo!A312</f>
        <v>5022</v>
      </c>
      <c r="C376" s="1" t="str">
        <f>+nodeInfo!A313</f>
        <v>5122</v>
      </c>
      <c r="D376" t="s">
        <v>678</v>
      </c>
    </row>
    <row r="377" spans="1:4" x14ac:dyDescent="0.2">
      <c r="A377" s="1" t="s">
        <v>665</v>
      </c>
      <c r="B377" s="1" t="str">
        <f>+nodeInfo!A313</f>
        <v>5122</v>
      </c>
      <c r="C377" s="1" t="str">
        <f>+nodeInfo!A314</f>
        <v>5222</v>
      </c>
      <c r="D377" t="s">
        <v>678</v>
      </c>
    </row>
    <row r="378" spans="1:4" x14ac:dyDescent="0.2">
      <c r="A378" s="1" t="s">
        <v>666</v>
      </c>
      <c r="B378" s="1" t="str">
        <f>+nodeInfo!A314</f>
        <v>5222</v>
      </c>
      <c r="C378" s="1" t="str">
        <f>+nodeInfo!A315</f>
        <v>5322</v>
      </c>
      <c r="D378" t="s">
        <v>678</v>
      </c>
    </row>
    <row r="379" spans="1:4" x14ac:dyDescent="0.2">
      <c r="A379" s="1" t="s">
        <v>667</v>
      </c>
      <c r="B379" s="1" t="str">
        <f>+nodeInfo!A315</f>
        <v>5322</v>
      </c>
      <c r="C379" s="1" t="str">
        <f>+nodeInfo!A316</f>
        <v>5422</v>
      </c>
      <c r="D379" t="s">
        <v>678</v>
      </c>
    </row>
    <row r="380" spans="1:4" x14ac:dyDescent="0.2">
      <c r="A380" s="1" t="s">
        <v>668</v>
      </c>
      <c r="B380" s="1" t="str">
        <f>+nodeInfo!A316</f>
        <v>5422</v>
      </c>
      <c r="C380" s="1" t="str">
        <f>+nodeInfo!A317</f>
        <v>5522</v>
      </c>
      <c r="D380" t="s">
        <v>678</v>
      </c>
    </row>
    <row r="381" spans="1:4" x14ac:dyDescent="0.2">
      <c r="A381" s="1" t="s">
        <v>669</v>
      </c>
      <c r="B381" s="1" t="str">
        <f>+nodeInfo!A317</f>
        <v>5522</v>
      </c>
      <c r="C381" s="1" t="str">
        <f>+nodeInfo!A318</f>
        <v>5622</v>
      </c>
      <c r="D381" t="s">
        <v>678</v>
      </c>
    </row>
    <row r="382" spans="1:4" x14ac:dyDescent="0.2">
      <c r="A382" s="1" t="s">
        <v>670</v>
      </c>
      <c r="B382" s="1" t="str">
        <f>+nodeInfo!A318</f>
        <v>5622</v>
      </c>
      <c r="C382" s="1" t="str">
        <f>+nodeInfo!A319</f>
        <v>5722</v>
      </c>
      <c r="D382" t="s">
        <v>678</v>
      </c>
    </row>
    <row r="383" spans="1:4" x14ac:dyDescent="0.2">
      <c r="A383" s="1" t="s">
        <v>671</v>
      </c>
      <c r="B383" s="1" t="str">
        <f>+nodeInfo!A319</f>
        <v>5722</v>
      </c>
      <c r="C383" s="1" t="str">
        <f>+nodeInfo!A320</f>
        <v>5822</v>
      </c>
      <c r="D383" t="s">
        <v>678</v>
      </c>
    </row>
    <row r="384" spans="1:4" x14ac:dyDescent="0.2">
      <c r="A384" s="1" t="s">
        <v>672</v>
      </c>
      <c r="B384" s="1" t="str">
        <f>+nodeInfo!A320</f>
        <v>5822</v>
      </c>
      <c r="C384" s="1" t="str">
        <f>+nodeInfo!A321</f>
        <v>5922</v>
      </c>
      <c r="D384" t="s">
        <v>678</v>
      </c>
    </row>
    <row r="385" spans="1:4" x14ac:dyDescent="0.2">
      <c r="A385" s="1" t="s">
        <v>673</v>
      </c>
      <c r="B385" s="1" t="str">
        <f>+nodeInfo!A321</f>
        <v>5922</v>
      </c>
      <c r="C385" s="1" t="str">
        <f>+nodeInfo!A322</f>
        <v>6022</v>
      </c>
      <c r="D385" t="s">
        <v>678</v>
      </c>
    </row>
    <row r="386" spans="1:4" x14ac:dyDescent="0.2">
      <c r="A386" s="1" t="s">
        <v>674</v>
      </c>
      <c r="B386" s="1" t="str">
        <f>+nodeInfo!A322</f>
        <v>6022</v>
      </c>
      <c r="C386" s="1" t="str">
        <f>+nodeInfo!A323</f>
        <v>6122</v>
      </c>
      <c r="D386" t="s">
        <v>678</v>
      </c>
    </row>
    <row r="387" spans="1:4" x14ac:dyDescent="0.2">
      <c r="A387" s="1" t="s">
        <v>675</v>
      </c>
      <c r="B387" s="1" t="str">
        <f>+nodeInfo!A323</f>
        <v>6122</v>
      </c>
      <c r="C387" s="1" t="str">
        <f>+nodeInfo!A324</f>
        <v>6222</v>
      </c>
      <c r="D387" t="s">
        <v>678</v>
      </c>
    </row>
    <row r="388" spans="1:4" x14ac:dyDescent="0.2">
      <c r="A388" s="1" t="s">
        <v>676</v>
      </c>
      <c r="B388" s="1" t="str">
        <f>+nodeInfo!A324</f>
        <v>6222</v>
      </c>
      <c r="C388" s="1" t="str">
        <f>+nodeInfo!A325</f>
        <v>6322</v>
      </c>
      <c r="D388" t="s">
        <v>678</v>
      </c>
    </row>
    <row r="389" spans="1:4" x14ac:dyDescent="0.2">
      <c r="A389" s="1" t="s">
        <v>677</v>
      </c>
      <c r="B389" s="1" t="str">
        <f>+nodeInfo!A325</f>
        <v>6322</v>
      </c>
      <c r="C389" s="1" t="str">
        <f>+nodeInfo!A326</f>
        <v>6422</v>
      </c>
      <c r="D389" t="s">
        <v>678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modelInfo</vt:lpstr>
      <vt:lpstr>nodeInfo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Gomez</dc:creator>
  <cp:lastModifiedBy>Miguel Gomez</cp:lastModifiedBy>
  <dcterms:created xsi:type="dcterms:W3CDTF">2024-03-29T21:53:59Z</dcterms:created>
  <dcterms:modified xsi:type="dcterms:W3CDTF">2024-04-02T06:29:23Z</dcterms:modified>
</cp:coreProperties>
</file>